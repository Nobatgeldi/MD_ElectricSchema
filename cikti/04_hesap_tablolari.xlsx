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Yük Dengesi" sheetId="1" state="visible" r:id="rId3"/>
    <sheet name="Kablo Çizelgesi" sheetId="2" state="visible" r:id="rId4"/>
    <sheet name="Pano Malzeme Listesi" sheetId="3" state="visible" r:id="rId5"/>
    <sheet name="Aydınlatma ve Priz Envanteri" sheetId="4" state="visible" r:id="rId6"/>
    <sheet name="Topraklama ve Yıldırım Malzeme" sheetId="5" state="visible" r:id="rId7"/>
    <sheet name="Kesici Selektivit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<sst xmlns="http://schemas.openxmlformats.org/spreadsheetml/2006/main" count="1177" uniqueCount="625">
  <si>
    <t xml:space="preserve">YÜK DENGESİ VE FAZ DENGESİZLİĞİ</t>
  </si>
  <si>
    <t xml:space="preserve">Cami Elektrik Dağıtım Projesi | 400 V TN-S | Tarih: 24.10.2026 | Rev: R0 | Sarı hücreler PARAMETRELER sözlüğünden gelen girdilerdir; diğer hesaplar formüldür.</t>
  </si>
  <si>
    <t xml:space="preserve">U_LN (V)</t>
  </si>
  <si>
    <t xml:space="preserve">Faz dengesizliği = (Pmax − Pmin) / Port × 100  (hedef ≤ %10)</t>
  </si>
  <si>
    <t xml:space="preserve">U_LL (V)</t>
  </si>
  <si>
    <t xml:space="preserve">Hesap akımı Ib = en yüklü faz akımı;  kd = eşzamanlılık katsayısı;  Talep gücü = Kurulu × kd</t>
  </si>
  <si>
    <t xml:space="preserve">Q0 Ir (A)</t>
  </si>
  <si>
    <t xml:space="preserve">Gelecek payı (%)</t>
  </si>
  <si>
    <t xml:space="preserve">Talep gücü dağılımı (kW)</t>
  </si>
  <si>
    <t xml:space="preserve">Faz akımları (A)</t>
  </si>
  <si>
    <t xml:space="preserve">Poz</t>
  </si>
  <si>
    <t xml:space="preserve">Hat adı</t>
  </si>
  <si>
    <t xml:space="preserve">Kurulu güç (kW)</t>
  </si>
  <si>
    <t xml:space="preserve">Faz</t>
  </si>
  <si>
    <t xml:space="preserve">cosφ</t>
  </si>
  <si>
    <t xml:space="preserve">Eşzamanlılık kd</t>
  </si>
  <si>
    <t xml:space="preserve">Talep gücü (kW)</t>
  </si>
  <si>
    <t xml:space="preserve">L1</t>
  </si>
  <si>
    <t xml:space="preserve">L2</t>
  </si>
  <si>
    <t xml:space="preserve">L3</t>
  </si>
  <si>
    <t xml:space="preserve">K1</t>
  </si>
  <si>
    <t xml:space="preserve">Klima-1</t>
  </si>
  <si>
    <t xml:space="preserve">3F</t>
  </si>
  <si>
    <t xml:space="preserve">K2</t>
  </si>
  <si>
    <t xml:space="preserve">Klima-2</t>
  </si>
  <si>
    <t xml:space="preserve">K3</t>
  </si>
  <si>
    <t xml:space="preserve">Klima-3</t>
  </si>
  <si>
    <t xml:space="preserve">K4</t>
  </si>
  <si>
    <t xml:space="preserve">Klima-4</t>
  </si>
  <si>
    <t xml:space="preserve">K5</t>
  </si>
  <si>
    <t xml:space="preserve">Klima-5</t>
  </si>
  <si>
    <t xml:space="preserve">K6</t>
  </si>
  <si>
    <t xml:space="preserve">Klima-6</t>
  </si>
  <si>
    <t xml:space="preserve">AV1</t>
  </si>
  <si>
    <t xml:space="preserve">Büyük avize
(AVZ1)</t>
  </si>
  <si>
    <t xml:space="preserve">PZ1</t>
  </si>
  <si>
    <t xml:space="preserve">Priz hattı-1
(P1–P10)</t>
  </si>
  <si>
    <t xml:space="preserve">PZ2</t>
  </si>
  <si>
    <t xml:space="preserve">Priz hattı-2
(P11–P20)</t>
  </si>
  <si>
    <t xml:space="preserve">PZ3</t>
  </si>
  <si>
    <t xml:space="preserve">Priz hattı-3
(P21–P30)</t>
  </si>
  <si>
    <t xml:space="preserve">LD1</t>
  </si>
  <si>
    <t xml:space="preserve">İç LED hat-1
(L1–L17)</t>
  </si>
  <si>
    <t xml:space="preserve">LD2</t>
  </si>
  <si>
    <t xml:space="preserve">İç LED hat-2
(L18–L34)</t>
  </si>
  <si>
    <t xml:space="preserve">LD3</t>
  </si>
  <si>
    <t xml:space="preserve">İç LED hat-3
(L35–L50)</t>
  </si>
  <si>
    <t xml:space="preserve">PJ1</t>
  </si>
  <si>
    <t xml:space="preserve">Projektör hattı-1
(PR1–PR4)</t>
  </si>
  <si>
    <t xml:space="preserve">PJ2</t>
  </si>
  <si>
    <t xml:space="preserve">Projektör hattı-2
(PR5–PR7)</t>
  </si>
  <si>
    <t xml:space="preserve">PJ3</t>
  </si>
  <si>
    <t xml:space="preserve">Projektör hattı-3
(PR8–PR10)</t>
  </si>
  <si>
    <t xml:space="preserve">KR1</t>
  </si>
  <si>
    <t xml:space="preserve">Kamera / NVR (UPS1)</t>
  </si>
  <si>
    <t xml:space="preserve">SS1</t>
  </si>
  <si>
    <t xml:space="preserve">Ses sistemi - sağ kol</t>
  </si>
  <si>
    <t xml:space="preserve">SS2</t>
  </si>
  <si>
    <t xml:space="preserve">Ses sistemi - sol kol</t>
  </si>
  <si>
    <t xml:space="preserve">SS3</t>
  </si>
  <si>
    <t xml:space="preserve">Ses sistemi - minare kol</t>
  </si>
  <si>
    <t xml:space="preserve">AC1</t>
  </si>
  <si>
    <t xml:space="preserve">Acil aydınlatma</t>
  </si>
  <si>
    <t xml:space="preserve">YA1</t>
  </si>
  <si>
    <t xml:space="preserve">Yangın alarm santrali</t>
  </si>
  <si>
    <t xml:space="preserve">YD1</t>
  </si>
  <si>
    <t xml:space="preserve">Yedek RCBO yuvası (boş)</t>
  </si>
  <si>
    <t xml:space="preserve">-</t>
  </si>
  <si>
    <t xml:space="preserve">YD2</t>
  </si>
  <si>
    <t xml:space="preserve">YD3</t>
  </si>
  <si>
    <t xml:space="preserve">TOPLAM</t>
  </si>
  <si>
    <t xml:space="preserve">ÖZET</t>
  </si>
  <si>
    <t xml:space="preserve">Faz dengesizliği (%)</t>
  </si>
  <si>
    <t xml:space="preserve">Dengesizlik hedefi ≤ %10</t>
  </si>
  <si>
    <t xml:space="preserve">Hesap akımı Ib (A) - en yüklü faz</t>
  </si>
  <si>
    <t xml:space="preserve">Ortalama faz akımı (A)</t>
  </si>
  <si>
    <t xml:space="preserve">cosφ (ortalama)</t>
  </si>
  <si>
    <t xml:space="preserve">Talep görünür gücü (kVA)</t>
  </si>
  <si>
    <t xml:space="preserve">Ib ≤ Q0 Ir kontrolü</t>
  </si>
  <si>
    <t xml:space="preserve">Trafo yüklenme oranı (%)</t>
  </si>
  <si>
    <t xml:space="preserve">Ib × (1 + gelecek payı) (A)</t>
  </si>
  <si>
    <t xml:space="preserve">Gelecek payı: Ib×(1+pay) ≤ Q0 Ir</t>
  </si>
  <si>
    <t xml:space="preserve">Q0 kalan yedek kapasite (%)</t>
  </si>
  <si>
    <t xml:space="preserve">TEK FAZ YÜKLERİN AÇGÖZLÜ (GREEDY) FAZ ATAMASI</t>
  </si>
  <si>
    <t xml:space="preserve">Sıra</t>
  </si>
  <si>
    <t xml:space="preserve">Hat</t>
  </si>
  <si>
    <t xml:space="preserve">Atanan faz</t>
  </si>
  <si>
    <t xml:space="preserve">Gerekçe</t>
  </si>
  <si>
    <t xml:space="preserve">L1 toplamı (kW)</t>
  </si>
  <si>
    <t xml:space="preserve">L2 toplamı (kW)</t>
  </si>
  <si>
    <t xml:space="preserve">L3 toplamı (kW)</t>
  </si>
  <si>
    <t xml:space="preserve">Büyük avize (AVZ1)</t>
  </si>
  <si>
    <t xml:space="preserve">parametre ile sabit</t>
  </si>
  <si>
    <t xml:space="preserve">Priz hattı-1 (P1–P10)</t>
  </si>
  <si>
    <t xml:space="preserve">en az yüklü faz (grupta farklı faz)</t>
  </si>
  <si>
    <t xml:space="preserve">Priz hattı-2 (P11–P20)</t>
  </si>
  <si>
    <t xml:space="preserve">Priz hattı-3 (P21–P30)</t>
  </si>
  <si>
    <t xml:space="preserve">en az yüklü faz</t>
  </si>
  <si>
    <t xml:space="preserve">Projektör hattı-1 (PR1–PR4)</t>
  </si>
  <si>
    <t xml:space="preserve">Projektör hattı-2 (PR5–PR7)</t>
  </si>
  <si>
    <t xml:space="preserve">Projektör hattı-3 (PR8–PR10)</t>
  </si>
  <si>
    <t xml:space="preserve">İç LED hat-1 (L1–L17)</t>
  </si>
  <si>
    <t xml:space="preserve">İç LED hat-2 (L18–L34)</t>
  </si>
  <si>
    <t xml:space="preserve">İç LED hat-3 (L35–L50)</t>
  </si>
  <si>
    <t xml:space="preserve">Algoritma: sabit faz verilenler önce atanır; kalanlar talep gücüne göre büyükten küçüğe sıralanır, her biri en az yüklü faza (aynı gruptaki hatlar farklı fazlara) atanır. 3 fazlı klima yükleri fazlara eşit dağılır.</t>
  </si>
  <si>
    <t xml:space="preserve">KABLO ÇİZELGESİ (akım, kesit, koruma, gerilim düşümü)</t>
  </si>
  <si>
    <t xml:space="preserve">Akım taşıma kapasitesi Iz (A) - IEC 60364-5-52 Ek B, PVC, Cu (yaklaşık)</t>
  </si>
  <si>
    <t xml:space="preserve">κ iletkenlik (m/Ω·mm²)</t>
  </si>
  <si>
    <t xml:space="preserve">Kesit (mm²)</t>
  </si>
  <si>
    <t xml:space="preserve">C-2</t>
  </si>
  <si>
    <t xml:space="preserve">C-3</t>
  </si>
  <si>
    <t xml:space="preserve">D2-3</t>
  </si>
  <si>
    <t xml:space="preserve">X reaktans (mΩ/m)</t>
  </si>
  <si>
    <t xml:space="preserve">Azaltma k (pano-alıcı)</t>
  </si>
  <si>
    <t xml:space="preserve">Azaltma k (gömülü)</t>
  </si>
  <si>
    <t xml:space="preserve">ΔU limiti güç hatları (%)</t>
  </si>
  <si>
    <t xml:space="preserve">ΔU limiti aydınlatma (%)</t>
  </si>
  <si>
    <t xml:space="preserve">Besleme (W0) ΔU hedefi (%) (varsayım)</t>
  </si>
  <si>
    <t xml:space="preserve">Kablo no</t>
  </si>
  <si>
    <t xml:space="preserve">Koruma poz</t>
  </si>
  <si>
    <t xml:space="preserve">Sınıf</t>
  </si>
  <si>
    <t xml:space="preserve">Güç (kW)</t>
  </si>
  <si>
    <t xml:space="preserve">Faz tipi</t>
  </si>
  <si>
    <t xml:space="preserve">Akım Ib (A)</t>
  </si>
  <si>
    <t xml:space="preserve">Kablo tipi</t>
  </si>
  <si>
    <t xml:space="preserve">Uzunluk (m)</t>
  </si>
  <si>
    <t xml:space="preserve">Döşeme</t>
  </si>
  <si>
    <t xml:space="preserve">Koruma cihazı</t>
  </si>
  <si>
    <t xml:space="preserve">In (A)</t>
  </si>
  <si>
    <t xml:space="preserve">Iz tablo (A)</t>
  </si>
  <si>
    <t xml:space="preserve">Iz düzeltilmiş (A)</t>
  </si>
  <si>
    <t xml:space="preserve">ΔU (V)</t>
  </si>
  <si>
    <t xml:space="preserve">ΔU hat (%)</t>
  </si>
  <si>
    <t xml:space="preserve">ΔU besleme (%)</t>
  </si>
  <si>
    <t xml:space="preserve">ΔU toplam (%)</t>
  </si>
  <si>
    <t xml:space="preserve">ΔU limit (%)</t>
  </si>
  <si>
    <t xml:space="preserve">Uygunluk</t>
  </si>
  <si>
    <t xml:space="preserve">ΔU eşdeğer boy katsayısı</t>
  </si>
  <si>
    <t xml:space="preserve">W0</t>
  </si>
  <si>
    <t xml:space="preserve">Q0</t>
  </si>
  <si>
    <t xml:space="preserve">Trafo - Q0 besleme (TR1 → PN1)</t>
  </si>
  <si>
    <t xml:space="preserve">besleme</t>
  </si>
  <si>
    <t xml:space="preserve">NYY 4x95 mm² Cu</t>
  </si>
  <si>
    <t xml:space="preserve">MCCB 4P Ir=160 A</t>
  </si>
  <si>
    <t xml:space="preserve">W1</t>
  </si>
  <si>
    <t xml:space="preserve">güç</t>
  </si>
  <si>
    <t xml:space="preserve">NYY 5x4 mm² Cu</t>
  </si>
  <si>
    <t xml:space="preserve">MPCB 3P 11-16 A (ayar 14 A)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</si>
  <si>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</si>
  <si>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</si>
  <si>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</si>
  <si>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</si>
  <si>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</si>
  <si>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</si>
  <si>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aydınlatma</t>
  </si>
  <si>
    <t xml:space="preserve">1F</t>
  </si>
  <si>
    <t xml:space="preserve">NYY 3x16 mm² Cu</t>
  </si>
  <si>
    <t xml:space="preserve">RCBO 1P+N C16, 30 mA</t>
  </si>
  <si>
    <t xml:space="preserve">W8</t>
  </si>
  <si>
    <t xml:space="preserve">W9</t>
  </si>
  <si>
    <t xml:space="preserve">W10</t>
  </si>
  <si>
    <t xml:space="preserve">W11</t>
  </si>
  <si>
    <t xml:space="preserve">NYY 3x2,5 mm² Cu</t>
  </si>
  <si>
    <t xml:space="preserve">RCBO 1P+N C10, 30 mA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</si>
  <si>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</si>
  <si>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</si>
  <si>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</si>
  <si>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</si>
  <si>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</si>
  <si>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</si>
  <si>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</si>
  <si>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</si>
  <si>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</si>
  <si>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</si>
  <si>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NHXH FE180/E90 3x2,5 mm² Cu</t>
  </si>
  <si>
    <t xml:space="preserve">W22</t>
  </si>
  <si>
    <t xml:space="preserve">Kontroller: Ib ≤ In ≤ Iz(düzeltilmiş) ve toplam ΔU = ΔU hat + ΔU besleme ≤ limit. ΔU = (√3 veya 2)·I·L·(cosφ/(κ·S) + X·sinφ).</t>
  </si>
  <si>
    <t xml:space="preserve">Yolverme akımı (klima kompresörleri) ΔU hesabına dahil değildir; üretici yolverme akımı ile ayrıca kontrol edilmelidir.</t>
  </si>
  <si>
    <t xml:space="preserve">PANO MALZEME LİSTESİ (PN1) VE SAHA EKİPMANI</t>
  </si>
  <si>
    <t xml:space="preserve">Açıklama</t>
  </si>
  <si>
    <t xml:space="preserve">Adet</t>
  </si>
  <si>
    <t xml:space="preserve">Teknik değer</t>
  </si>
  <si>
    <t xml:space="preserve">Grup</t>
  </si>
  <si>
    <t xml:space="preserve">Çizim</t>
  </si>
  <si>
    <t xml:space="preserve">PANO İÇİ / ÜZERİ MALZEME</t>
  </si>
  <si>
    <t xml:space="preserve">PN1</t>
  </si>
  <si>
    <t xml:space="preserve">Ana dağıtım panosu, zemine monte, metal gövde, boyalı, çok bölmeli</t>
  </si>
  <si>
    <t xml:space="preserve">800x2000x400 mm (GxYxD), IP54</t>
  </si>
  <si>
    <t xml:space="preserve">Pano</t>
  </si>
  <si>
    <t xml:space="preserve">Ç1, Ç2, Ç3, Ç6</t>
  </si>
  <si>
    <t xml:space="preserve">Ana kesici, MCCB 4P</t>
  </si>
  <si>
    <t xml:space="preserve">250 A gövde, Ir=160 A, Icu=36 kA, Isd=6xIr/100 ms, Ii kapalı (OFF)</t>
  </si>
  <si>
    <t xml:space="preserve">Ç1, Ç2</t>
  </si>
  <si>
    <t xml:space="preserve">MX0</t>
  </si>
  <si>
    <t xml:space="preserve">Q0 açtırma bobini (şönt tripli), 230 V a.a.</t>
  </si>
  <si>
    <t xml:space="preserve">230 V a.a., Q0 yardımcı kontak/shunt trip</t>
  </si>
  <si>
    <t xml:space="preserve">RCR0</t>
  </si>
  <si>
    <t xml:space="preserve">Gecikmeli kaçak akım rölesi</t>
  </si>
  <si>
    <t xml:space="preserve">I∆n=1,0 A (ayar 0,3-1 A), gecikme 300 ms (ayar 100-300 ms)</t>
  </si>
  <si>
    <t xml:space="preserve">TOR0</t>
  </si>
  <si>
    <t xml:space="preserve">Toroid (kapalı tip), Ø140 mm</t>
  </si>
  <si>
    <t xml:space="preserve">Ø140 mm iç çap, RCR0'a bağlı</t>
  </si>
  <si>
    <t xml:space="preserve">SPD1</t>
  </si>
  <si>
    <t xml:space="preserve">Parafudr Tip 1+2, 3+1 bağlantı</t>
  </si>
  <si>
    <t xml:space="preserve">Iimp=12,5 kA/kutup, In=25 kA, Up≤1,5 kV, Uc=275 V</t>
  </si>
  <si>
    <t xml:space="preserve">F1</t>
  </si>
  <si>
    <t xml:space="preserve">SPD yedek sigortası, NH00 gG 3P ayırıcılı</t>
  </si>
  <si>
    <t xml:space="preserve">125 A gG</t>
  </si>
  <si>
    <t xml:space="preserve">FSR1</t>
  </si>
  <si>
    <t xml:space="preserve">Faz sırası ve gerilim izleme rölesi</t>
  </si>
  <si>
    <t xml:space="preserve">±%10 Un, faz sırası/kaybı</t>
  </si>
  <si>
    <t xml:space="preserve">F2</t>
  </si>
  <si>
    <t xml:space="preserve">Ölçüm/kumanda devresi şalteri 3P MCB</t>
  </si>
  <si>
    <t xml:space="preserve">C6 A, 10 kA</t>
  </si>
  <si>
    <t xml:space="preserve">CT1–CT3</t>
  </si>
  <si>
    <t xml:space="preserve">Akım trafosu (L1, L2, L3)</t>
  </si>
  <si>
    <t xml:space="preserve">200/5 A, 5 VA, Sınıf 0,5</t>
  </si>
  <si>
    <t xml:space="preserve">PM1</t>
  </si>
  <si>
    <t xml:space="preserve">Enerji analizörü (3F4T, RS-485), 96x96 mm</t>
  </si>
  <si>
    <t xml:space="preserve">kapıda, 96x96 mm, CT sekonder 5 A</t>
  </si>
  <si>
    <t xml:space="preserve">A1</t>
  </si>
  <si>
    <t xml:space="preserve">Ampermetre 0-200 A (200/5 A trafo), 96x96 mm</t>
  </si>
  <si>
    <t xml:space="preserve">kapıda</t>
  </si>
  <si>
    <t xml:space="preserve">V1</t>
  </si>
  <si>
    <t xml:space="preserve">Voltmetre 0-500 V, 96x96 mm</t>
  </si>
  <si>
    <t xml:space="preserve">SA1</t>
  </si>
  <si>
    <t xml:space="preserve">Ampermetre seçici anahtar (L1-L2-L3)</t>
  </si>
  <si>
    <t xml:space="preserve">kapıda, 4 konumlu</t>
  </si>
  <si>
    <t xml:space="preserve">SA2</t>
  </si>
  <si>
    <t xml:space="preserve">Voltmetre seçici anahtar (L1-L2-L3, L-N/L-L)</t>
  </si>
  <si>
    <t xml:space="preserve">kapıda, 7 konumlu</t>
  </si>
  <si>
    <t xml:space="preserve">H1–H3</t>
  </si>
  <si>
    <t xml:space="preserve">Faz sinyal lambası (L1, L2, L3)</t>
  </si>
  <si>
    <t xml:space="preserve">Ø22 mm LED, 230 V a.a. (kapıda)</t>
  </si>
  <si>
    <t xml:space="preserve">SB1</t>
  </si>
  <si>
    <t xml:space="preserve">Acil durdurma butonu Ø40 mm (Q0 açtırma bobinine bağlı)</t>
  </si>
  <si>
    <t xml:space="preserve">kapıda, kırmızı/sarı, kilitli, Q0 MX0'a bağlı</t>
  </si>
  <si>
    <t xml:space="preserve">Q3</t>
  </si>
  <si>
    <t xml:space="preserve">Dış aydınlatma besleme şalteri (MCB 4P)</t>
  </si>
  <si>
    <t xml:space="preserve">4P C25 A, 10 kA</t>
  </si>
  <si>
    <t xml:space="preserve">KM1</t>
  </si>
  <si>
    <t xml:space="preserve">Dış aydınlatma kontaktörü (3P)</t>
  </si>
  <si>
    <t xml:space="preserve">3P 25 A (AC-1/AC-5a), bobin 230 V, 3 modül</t>
  </si>
  <si>
    <t xml:space="preserve">FT1</t>
  </si>
  <si>
    <t xml:space="preserve">Fotosel (alacakaranlık anahtarı)</t>
  </si>
  <si>
    <t xml:space="preserve">DIN ray 2 modül + harici sensör IP65, ayar 5-50 lux</t>
  </si>
  <si>
    <t xml:space="preserve">ZR1</t>
  </si>
  <si>
    <t xml:space="preserve">Astronomik zaman rölesi</t>
  </si>
  <si>
    <t xml:space="preserve">DIN ray 2 modül, enlem/boylam programlı, yedek pil</t>
  </si>
  <si>
    <t xml:space="preserve">SA3</t>
  </si>
  <si>
    <t xml:space="preserve">MAN-0-OTO seçici anahtar (kapıda)</t>
  </si>
  <si>
    <t xml:space="preserve">3 konumlu, kapı üzeri Ø22 mm</t>
  </si>
  <si>
    <t xml:space="preserve">H4</t>
  </si>
  <si>
    <t xml:space="preserve">Dış aydınlatma durum lambası (kapıda)</t>
  </si>
  <si>
    <t xml:space="preserve">Ø22 mm LED, 230 V a.a., yeşil</t>
  </si>
  <si>
    <t xml:space="preserve">SPD2</t>
  </si>
  <si>
    <t xml:space="preserve">Parafudr Tip 2, 3+1 (dış hatlar)</t>
  </si>
  <si>
    <t xml:space="preserve">In=20 kA, Imax=40 kA, Up≤1,4 kV, Uc=275 V; yedek koruma Q3</t>
  </si>
  <si>
    <t xml:space="preserve">XT1</t>
  </si>
  <si>
    <t xml:space="preserve">Ölçüm klemens sırası (CT sekonder, gerilim izleme)</t>
  </si>
  <si>
    <t xml:space="preserve">12 klemens, CT kısa devre klemensli</t>
  </si>
  <si>
    <t xml:space="preserve">BL1–BL3</t>
  </si>
  <si>
    <t xml:space="preserve">Ana bara (L1, L2, L3)</t>
  </si>
  <si>
    <t xml:space="preserve">Cu bara 30x5 mm, 250 A, Icw≥25 kA/1 s</t>
  </si>
  <si>
    <t xml:space="preserve">BN</t>
  </si>
  <si>
    <t xml:space="preserve">N barası (pano gövdesinden yalıtılmış)</t>
  </si>
  <si>
    <t xml:space="preserve">Cu bara 30x5 mm, 250 A, N klemensli</t>
  </si>
  <si>
    <t xml:space="preserve">BPE</t>
  </si>
  <si>
    <t xml:space="preserve">PE barası (pano gövdesine bağlı)</t>
  </si>
  <si>
    <t xml:space="preserve">Cu bara 30x5 mm, PE klemensli</t>
  </si>
  <si>
    <t xml:space="preserve">Q1, Q2</t>
  </si>
  <si>
    <t xml:space="preserve">Klima grup besleme şalteri (MCB 4P)</t>
  </si>
  <si>
    <t xml:space="preserve">4P C63 A, 10 kA</t>
  </si>
  <si>
    <t xml:space="preserve">RCD1, RCD2</t>
  </si>
  <si>
    <t xml:space="preserve">Klima grup kaçak akım rölesi (RCD 4P)</t>
  </si>
  <si>
    <t xml:space="preserve">4P 63 A, 300 mA, Tip B (alt: F), Inc=10 kA</t>
  </si>
  <si>
    <t xml:space="preserve">K1–K6</t>
  </si>
  <si>
    <t xml:space="preserve">Klima motor koruma şalteri (MPCB 3P)</t>
  </si>
  <si>
    <t xml:space="preserve">3P MPCB 11-16 A (ayar 14 A), Icu=50 kA; alternatif C20</t>
  </si>
  <si>
    <t xml:space="preserve">Avize hattı RCBO</t>
  </si>
  <si>
    <t xml:space="preserve">1P+N C16 A, 30 mA, Tip A, 10 kA</t>
  </si>
  <si>
    <t xml:space="preserve">Ç1, Ç2, Ç6</t>
  </si>
  <si>
    <t xml:space="preserve">PZ1–PZ3</t>
  </si>
  <si>
    <t xml:space="preserve">Priz hattı RCBO</t>
  </si>
  <si>
    <t xml:space="preserve">LD1–LD3</t>
  </si>
  <si>
    <t xml:space="preserve">İç LED hattı RCBO</t>
  </si>
  <si>
    <t xml:space="preserve">1P+N C10 A, 30 mA, Tip A, 10 kA, LED sürücü inrush için C eğrisi</t>
  </si>
  <si>
    <t xml:space="preserve">PJ1–PJ3</t>
  </si>
  <si>
    <t xml:space="preserve">Dış projektör hattı RCBO</t>
  </si>
  <si>
    <t xml:space="preserve">1P+N C10 A, 30 mA, Tip A, 10 kA</t>
  </si>
  <si>
    <t xml:space="preserve">Kamera hattı RCBO</t>
  </si>
  <si>
    <t xml:space="preserve">SS1–SS3</t>
  </si>
  <si>
    <t xml:space="preserve">Ses sistemi hattı RCBO</t>
  </si>
  <si>
    <t xml:space="preserve">AC1, YA1</t>
  </si>
  <si>
    <t xml:space="preserve">Acil aydınlatma RCBO</t>
  </si>
  <si>
    <t xml:space="preserve">YD1–YD3</t>
  </si>
  <si>
    <t xml:space="preserve">Yedek RCBO yuvası (boş, DIN ray + bara hazır)</t>
  </si>
  <si>
    <t xml:space="preserve">1P+N RCBO için yer ayrıldı (2 modül)</t>
  </si>
  <si>
    <t xml:space="preserve">MP1</t>
  </si>
  <si>
    <t xml:space="preserve">Montaj plakası (galvaniz, 2 mm)</t>
  </si>
  <si>
    <t xml:space="preserve">700x1800 mm</t>
  </si>
  <si>
    <t xml:space="preserve">Ç2</t>
  </si>
  <si>
    <t xml:space="preserve">DR1</t>
  </si>
  <si>
    <t xml:space="preserve">DIN ray 35x7,5 mm (delikli)</t>
  </si>
  <si>
    <t xml:space="preserve">580 mm</t>
  </si>
  <si>
    <t xml:space="preserve">KN1</t>
  </si>
  <si>
    <t xml:space="preserve">Kablo kanalı (dikey/yatay), kapaklı, PVC halojensiz</t>
  </si>
  <si>
    <t xml:space="preserve">60x80 mm dikey, 25x60 mm yatay</t>
  </si>
  <si>
    <t xml:space="preserve">GR1</t>
  </si>
  <si>
    <t xml:space="preserve">Havalandırma ızgarası + filtre (IP54)</t>
  </si>
  <si>
    <t xml:space="preserve">Kapı alt/üst, 200x300 mm</t>
  </si>
  <si>
    <t xml:space="preserve">KL1</t>
  </si>
  <si>
    <t xml:space="preserve">Kapı kilidi (3 noktalı, kollu)</t>
  </si>
  <si>
    <t xml:space="preserve">Çok noktalı kilit, anahtarlı</t>
  </si>
  <si>
    <t xml:space="preserve">RK0</t>
  </si>
  <si>
    <t xml:space="preserve">Kablo rakoru W0 giriş (alt plaka)</t>
  </si>
  <si>
    <t xml:space="preserve">M63, IP68</t>
  </si>
  <si>
    <t xml:space="preserve">RK1</t>
  </si>
  <si>
    <t xml:space="preserve">Kablo rakoru klima çıkışları (alt plaka)</t>
  </si>
  <si>
    <t xml:space="preserve">M32, IP68</t>
  </si>
  <si>
    <t xml:space="preserve">RK2</t>
  </si>
  <si>
    <t xml:space="preserve">Kablo rakoru diğer çıkışlar (alt plaka)</t>
  </si>
  <si>
    <t xml:space="preserve">M25, IP68</t>
  </si>
  <si>
    <t xml:space="preserve">SAHA (PANO DIŞI) EKİPMAN VE KABLOLAR</t>
  </si>
  <si>
    <t xml:space="preserve">TR1</t>
  </si>
  <si>
    <t xml:space="preserve">Güç transformatörü (OG tarafı blok gösterim)</t>
  </si>
  <si>
    <t xml:space="preserve">250 kVA, Dyn11, uk=%4,0, OG/0,4 kV</t>
  </si>
  <si>
    <t xml:space="preserve">Saha</t>
  </si>
  <si>
    <t xml:space="preserve">Ç1, Ç3</t>
  </si>
  <si>
    <t xml:space="preserve">Trafo - Q0 besleme kablosu</t>
  </si>
  <si>
    <t xml:space="preserve">NYY 4x95 mm² Cu, L=30,0 m, gömülü</t>
  </si>
  <si>
    <t xml:space="preserve">Ç1, Ç2, Ç3</t>
  </si>
  <si>
    <t xml:space="preserve">PE3</t>
  </si>
  <si>
    <t xml:space="preserve">Trafo yıldız noktası - PN1 PE barası koruma iletkeni</t>
  </si>
  <si>
    <t xml:space="preserve">NYY (sarı-yeşil) 1x50 mm² Cu, L=30,0 m (W0 ile aynı hendek)</t>
  </si>
  <si>
    <t xml:space="preserve">M1–M6</t>
  </si>
  <si>
    <t xml:space="preserve">Dolap tipi klima (3 faz)</t>
  </si>
  <si>
    <t xml:space="preserve">7,0 kW, 400 V, cosφ=0,90</t>
  </si>
  <si>
    <t xml:space="preserve">Ç1</t>
  </si>
  <si>
    <t xml:space="preserve">UPS1</t>
  </si>
  <si>
    <t xml:space="preserve">UPS, 2 kVA, online çift dönüşümlü (kamera/NVR)</t>
  </si>
  <si>
    <t xml:space="preserve">2,0 kVA, 230 V, kamera/NVR için</t>
  </si>
  <si>
    <t xml:space="preserve">DM1</t>
  </si>
  <si>
    <t xml:space="preserve">Avize dimmer (LED uyumlu, faz kesmeli, 2,5 kW) / kontaktör</t>
  </si>
  <si>
    <t xml:space="preserve">avize hattı AV1 üzerinde, 2,5 kW LED uyumlu</t>
  </si>
  <si>
    <t xml:space="preserve">AVZ1</t>
  </si>
  <si>
    <t xml:space="preserve">Büyük avize + bağlantı ünitesi</t>
  </si>
  <si>
    <t xml:space="preserve">2000 W, hat AV1</t>
  </si>
  <si>
    <t xml:space="preserve">Ç1, Ç6</t>
  </si>
  <si>
    <t xml:space="preserve">P1–P10</t>
  </si>
  <si>
    <t xml:space="preserve">Priz girişi, 16 A, 230 V, topraklı (IP20)</t>
  </si>
  <si>
    <t xml:space="preserve">300 W, hat PZ1</t>
  </si>
  <si>
    <t xml:space="preserve">P11–P20</t>
  </si>
  <si>
    <t xml:space="preserve">300 W, hat PZ2</t>
  </si>
  <si>
    <t xml:space="preserve">P21–P30</t>
  </si>
  <si>
    <t xml:space="preserve">300 W, hat PZ3</t>
  </si>
  <si>
    <t xml:space="preserve">L1–L17</t>
  </si>
  <si>
    <t xml:space="preserve">İç mekan LED armatür/lamba</t>
  </si>
  <si>
    <t xml:space="preserve">15 W, hat LD1</t>
  </si>
  <si>
    <t xml:space="preserve">L18–L34</t>
  </si>
  <si>
    <t xml:space="preserve">15 W, hat LD2</t>
  </si>
  <si>
    <t xml:space="preserve">L35–L50</t>
  </si>
  <si>
    <t xml:space="preserve">15 W, hat LD3</t>
  </si>
  <si>
    <t xml:space="preserve">PR1–PR4</t>
  </si>
  <si>
    <t xml:space="preserve">LED projektör, IP65</t>
  </si>
  <si>
    <t xml:space="preserve">100 W, hat PJ1</t>
  </si>
  <si>
    <t xml:space="preserve">PR5–PR7</t>
  </si>
  <si>
    <t xml:space="preserve">100 W, hat PJ2</t>
  </si>
  <si>
    <t xml:space="preserve">PR8–PR10</t>
  </si>
  <si>
    <t xml:space="preserve">100 W, hat PJ3</t>
  </si>
  <si>
    <t xml:space="preserve">JB1</t>
  </si>
  <si>
    <t xml:space="preserve">IP65 bağlantı kutusu (dış hat)</t>
  </si>
  <si>
    <t xml:space="preserve">hat PJ1, IP65, 3x2,5 mm² geçişli</t>
  </si>
  <si>
    <t xml:space="preserve">Ç6</t>
  </si>
  <si>
    <t xml:space="preserve">JB2</t>
  </si>
  <si>
    <t xml:space="preserve">hat PJ2, IP65, 3x2,5 mm² geçişli</t>
  </si>
  <si>
    <t xml:space="preserve">JB3</t>
  </si>
  <si>
    <t xml:space="preserve">hat PJ3, IP65, 3x2,5 mm² geçişli</t>
  </si>
  <si>
    <t xml:space="preserve">KT1</t>
  </si>
  <si>
    <t xml:space="preserve">Kablo tavası (iç mekan, perfore, galvaniz)</t>
  </si>
  <si>
    <t xml:space="preserve">100x50 mm, kapaklı; ana kablo yolları</t>
  </si>
  <si>
    <t xml:space="preserve">W1–W6</t>
  </si>
  <si>
    <t xml:space="preserve">Alıcı besleme kablosu (pano - alıcı)</t>
  </si>
  <si>
    <t xml:space="preserve">NYY 5x4 mm² Cu, L=25,0 m</t>
  </si>
  <si>
    <t xml:space="preserve">NYY 3x16 mm² Cu, L=100,0 m</t>
  </si>
  <si>
    <t xml:space="preserve">W8–W10</t>
  </si>
  <si>
    <t xml:space="preserve">NYY 3x16 mm² Cu, L=266,7 m</t>
  </si>
  <si>
    <t xml:space="preserve">W11–W13</t>
  </si>
  <si>
    <t xml:space="preserve">NYY 3x2,5 mm² Cu, L=266,7 m</t>
  </si>
  <si>
    <t xml:space="preserve">W14–W16</t>
  </si>
  <si>
    <t xml:space="preserve">NYY 3x2,5 mm² Cu, L=66,7 m</t>
  </si>
  <si>
    <t xml:space="preserve">NYY 3x2,5 mm² Cu, L=28,0 m</t>
  </si>
  <si>
    <t xml:space="preserve">W18–W20</t>
  </si>
  <si>
    <t xml:space="preserve">NYY 3x2,5 mm² Cu, L=100,0 m</t>
  </si>
  <si>
    <t xml:space="preserve">W21, W22</t>
  </si>
  <si>
    <t xml:space="preserve">NHXH FE180/E90 3x2,5 mm² Cu, L=35,0 m</t>
  </si>
  <si>
    <t xml:space="preserve">AYDINLATMA VE PRİZ ENVANTERİ (cihaz → hat → faz → kablo)</t>
  </si>
  <si>
    <t xml:space="preserve">Fire/yedek payı (%)</t>
  </si>
  <si>
    <t xml:space="preserve">Cihaz adı</t>
  </si>
  <si>
    <t xml:space="preserve">Birim güç (W)</t>
  </si>
  <si>
    <t xml:space="preserve">Toplam güç (W)</t>
  </si>
  <si>
    <t xml:space="preserve">Hat (RCBO)</t>
  </si>
  <si>
    <t xml:space="preserve">Kablo</t>
  </si>
  <si>
    <t xml:space="preserve">Not</t>
  </si>
  <si>
    <t xml:space="preserve">W7: NYY 3x16 mm², L=100 m</t>
  </si>
  <si>
    <t xml:space="preserve">cosφ=0,95 (varsayım); kesit 2,5→16 mm² büyütüldü</t>
  </si>
  <si>
    <t xml:space="preserve">Priz girişi, 16 A, 230 V, topraklı</t>
  </si>
  <si>
    <t xml:space="preserve">W8: NYY 3x16 mm², L=267 m</t>
  </si>
  <si>
    <t xml:space="preserve">kd=0,5; kesit 2,5→16 mm² büyütüldü</t>
  </si>
  <si>
    <t xml:space="preserve">W9: NYY 3x16 mm², L=267 m</t>
  </si>
  <si>
    <t xml:space="preserve">W10: NYY 3x16 mm², L=267 m</t>
  </si>
  <si>
    <t xml:space="preserve">W11: NYY 3x2,5 mm², L=267 m</t>
  </si>
  <si>
    <t xml:space="preserve">C eğrili RCBO (sürücü inrush); kesit 1,5→2,5 mm² büyütüldü</t>
  </si>
  <si>
    <t xml:space="preserve">W12: NYY 3x2,5 mm², L=267 m</t>
  </si>
  <si>
    <t xml:space="preserve">W13: NYY 3x2,5 mm², L=267 m</t>
  </si>
  <si>
    <t xml:space="preserve">W14: NYY 3x2,5 mm², L=67 m</t>
  </si>
  <si>
    <t xml:space="preserve">PROJEKTOR_GUCU_W varsayım; IP65 kutular</t>
  </si>
  <si>
    <t xml:space="preserve">W15: NYY 3x2,5 mm², L=67 m</t>
  </si>
  <si>
    <t xml:space="preserve">W16: NYY 3x2,5 mm², L=67 m</t>
  </si>
  <si>
    <t xml:space="preserve">EK KALEMLER</t>
  </si>
  <si>
    <t xml:space="preserve">projektör grubu başına 1 kutu</t>
  </si>
  <si>
    <t xml:space="preserve">Dış hat kablosu metrajı (NYY, uzaklık parametreden, fire dahil)</t>
  </si>
  <si>
    <t xml:space="preserve">m</t>
  </si>
  <si>
    <t xml:space="preserve">PJ</t>
  </si>
  <si>
    <t xml:space="preserve">3x2,5 mm² (kesit hat çizelgesine göre), uzaklık 67 m</t>
  </si>
  <si>
    <t xml:space="preserve">toprak altı veya kablo kanalı</t>
  </si>
  <si>
    <t xml:space="preserve">Kablo tavası (iç mekan)</t>
  </si>
  <si>
    <t xml:space="preserve">ana kablo yolu</t>
  </si>
  <si>
    <t xml:space="preserve">Çizim 6</t>
  </si>
  <si>
    <t xml:space="preserve">TOPRAKLAMA VE YILDIRIMDAN KORUNMA MALZEMESİ (metraj formüllerle)</t>
  </si>
  <si>
    <t xml:space="preserve">Bina boyu a (m)</t>
  </si>
  <si>
    <t xml:space="preserve">Bina eni b (m)</t>
  </si>
  <si>
    <t xml:space="preserve">Halka ofseti (m)</t>
  </si>
  <si>
    <t xml:space="preserve">Halka derinliği (m)</t>
  </si>
  <si>
    <t xml:space="preserve">Çubuk boyu (m)</t>
  </si>
  <si>
    <t xml:space="preserve">Çubuk aralığı üst sınır (m)</t>
  </si>
  <si>
    <t xml:space="preserve">İniş iletkeni ortalama aralık sınırı (m)</t>
  </si>
  <si>
    <t xml:space="preserve">Yedek/fire payı (%)</t>
  </si>
  <si>
    <t xml:space="preserve">Gövde yüksekliği (m)</t>
  </si>
  <si>
    <t xml:space="preserve">Bina yüksekliği (m)</t>
  </si>
  <si>
    <t xml:space="preserve">Minare yüksekliği (m)</t>
  </si>
  <si>
    <t xml:space="preserve">Kubbe yarıçapı (m)</t>
  </si>
  <si>
    <t xml:space="preserve">Kontrol çukuru adedi</t>
  </si>
  <si>
    <t xml:space="preserve">PN1 BPE - EPB1 hattı (m)</t>
  </si>
  <si>
    <t xml:space="preserve">EPB1 - halka hattı (m)</t>
  </si>
  <si>
    <t xml:space="preserve">Trafo elektrodu çubuk adedi</t>
  </si>
  <si>
    <t xml:space="preserve">Trafo elektrodu çubuk aralığı (m)</t>
  </si>
  <si>
    <t xml:space="preserve">EB bağlantı iletkeni ort. boyu (m)</t>
  </si>
  <si>
    <t xml:space="preserve">EB bağlantı noktası adedi</t>
  </si>
  <si>
    <t xml:space="preserve">Trafo - pano mesafesi (m)</t>
  </si>
  <si>
    <t xml:space="preserve">YK1 boyu (m)</t>
  </si>
  <si>
    <t xml:space="preserve">YK2 boyu (m)</t>
  </si>
  <si>
    <t xml:space="preserve">YK3 boyu (m)</t>
  </si>
  <si>
    <t xml:space="preserve">Malzeme / iş kalemi</t>
  </si>
  <si>
    <t xml:space="preserve">Birim</t>
  </si>
  <si>
    <t xml:space="preserve">Miktar</t>
  </si>
  <si>
    <t xml:space="preserve">Hesap</t>
  </si>
  <si>
    <t xml:space="preserve">TH1</t>
  </si>
  <si>
    <t xml:space="preserve">Halka iletkeni (net)</t>
  </si>
  <si>
    <t xml:space="preserve">2·((a+2·ofs)+(b+2·ofs))</t>
  </si>
  <si>
    <t xml:space="preserve">50 mm² çıplak Cu</t>
  </si>
  <si>
    <t xml:space="preserve">Halka iletkeni (fire payı dahil sipariş)</t>
  </si>
  <si>
    <t xml:space="preserve">net × (1+pay)</t>
  </si>
  <si>
    <t xml:space="preserve">TÇ1–TÇ12</t>
  </si>
  <si>
    <t xml:space="preserve">Topraklama çubuğu Ø18 mm, bakır kaplı</t>
  </si>
  <si>
    <t xml:space="preserve">adet</t>
  </si>
  <si>
    <t xml:space="preserve">kenar başına ROUNDUP(L/aralık) toplamı</t>
  </si>
  <si>
    <t xml:space="preserve">3 m boy</t>
  </si>
  <si>
    <t xml:space="preserve">Çubuk toplam boyu</t>
  </si>
  <si>
    <t xml:space="preserve">adet × boy</t>
  </si>
  <si>
    <t xml:space="preserve">Gerçek çubuk aralığı (kontrol 6-10 m)</t>
  </si>
  <si>
    <t xml:space="preserve">kenar uzunluğu / aralık sayısı</t>
  </si>
  <si>
    <t xml:space="preserve">6-10 m hedef</t>
  </si>
  <si>
    <t xml:space="preserve">KÇ1–KÇ4</t>
  </si>
  <si>
    <t xml:space="preserve">Kontrol (ölçüm) çukuru, kapaklı</t>
  </si>
  <si>
    <t xml:space="preserve">parametre</t>
  </si>
  <si>
    <t xml:space="preserve">300x300x300 mm</t>
  </si>
  <si>
    <t xml:space="preserve">İL1–İL6</t>
  </si>
  <si>
    <t xml:space="preserve">Yıldırım iniş iletkeni adedi</t>
  </si>
  <si>
    <t xml:space="preserve">ROUNDUP(çevre/aralık), min 2</t>
  </si>
  <si>
    <t xml:space="preserve">50 mm² Cu veya 30x3,5 mm galvaniz şerit</t>
  </si>
  <si>
    <t xml:space="preserve">ÖK1–ÖK6</t>
  </si>
  <si>
    <t xml:space="preserve">Ölçüm (test) ayırma noktası</t>
  </si>
  <si>
    <t xml:space="preserve">iniş iletkeni başına 1</t>
  </si>
  <si>
    <t xml:space="preserve">korumalı kutulu test klemensi</t>
  </si>
  <si>
    <t xml:space="preserve">İniş iletkeni metrajı (fire dahil)</t>
  </si>
  <si>
    <t xml:space="preserve">n·(h_gövde+derinlik) + minare boyu + kubbe iletkeni, +pay</t>
  </si>
  <si>
    <t xml:space="preserve">50 mm² Cu</t>
  </si>
  <si>
    <t xml:space="preserve">ÇÇ1</t>
  </si>
  <si>
    <t xml:space="preserve">Çatı çevre iletkeni (30x3,5 galvaniz şerit, fire dahil)</t>
  </si>
  <si>
    <t xml:space="preserve">çevre + kubbe bağlantısı + minare bağlantısı, +pay</t>
  </si>
  <si>
    <t xml:space="preserve">30x3,5 mm galvaniz şerit</t>
  </si>
  <si>
    <t xml:space="preserve">YK1–YK3</t>
  </si>
  <si>
    <t xml:space="preserve">Franklin çubuğu (Ø16 mm, Cu/paslanmaz)</t>
  </si>
  <si>
    <t xml:space="preserve">minare ucu, kubbe tepesi, çatı kenarı</t>
  </si>
  <si>
    <t xml:space="preserve">boylar: aşağıda</t>
  </si>
  <si>
    <t xml:space="preserve">Franklin çubuğu toplam boy</t>
  </si>
  <si>
    <t xml:space="preserve">YK1+YK2+YK3</t>
  </si>
  <si>
    <t xml:space="preserve">EPB1</t>
  </si>
  <si>
    <t xml:space="preserve">Esas eş potansiyel barası</t>
  </si>
  <si>
    <t xml:space="preserve">ana pano yanı</t>
  </si>
  <si>
    <t xml:space="preserve">Cu 40x5 mm, 12 klemens</t>
  </si>
  <si>
    <t xml:space="preserve">PE1</t>
  </si>
  <si>
    <t xml:space="preserve">PN1 BPE - EPB1 iletkeni 50 mm² Cu (sarı-yeşil)</t>
  </si>
  <si>
    <t xml:space="preserve">uzunluk + pay</t>
  </si>
  <si>
    <t xml:space="preserve">PE2</t>
  </si>
  <si>
    <t xml:space="preserve">EPB1 - halka iletkeni 50 mm² Cu (sarı-yeşil)</t>
  </si>
  <si>
    <t xml:space="preserve">Trafo - PN1 PE iletkeni 1x50 mm² Cu</t>
  </si>
  <si>
    <t xml:space="preserve">trafo-pano mesafesi + pay</t>
  </si>
  <si>
    <t xml:space="preserve">NYY 1x50 mm² sarı-yeşil</t>
  </si>
  <si>
    <t xml:space="preserve">TE1</t>
  </si>
  <si>
    <t xml:space="preserve">Trafo elektrodu çubuğu</t>
  </si>
  <si>
    <t xml:space="preserve">Ø18 x 3 m</t>
  </si>
  <si>
    <t xml:space="preserve">Trafo elektrodu bağlantı iletkeni 50 mm² Cu</t>
  </si>
  <si>
    <t xml:space="preserve">(n−1)·aralık + 6 m</t>
  </si>
  <si>
    <t xml:space="preserve">50 mm² Cu çıplak</t>
  </si>
  <si>
    <t xml:space="preserve">EB1–EB6</t>
  </si>
  <si>
    <t xml:space="preserve">Eş potansiyel bağlantı iletkeni 16 mm² Cu (sarı-yeşil)</t>
  </si>
  <si>
    <t xml:space="preserve">adet × ort. boy + pay</t>
  </si>
  <si>
    <t xml:space="preserve">16 mm² Cu</t>
  </si>
  <si>
    <t xml:space="preserve">Boru/kanal bağlantı kelepçesi (EB)</t>
  </si>
  <si>
    <t xml:space="preserve">EB başına 1</t>
  </si>
  <si>
    <t xml:space="preserve">bakır/paslanmaz kelepçe</t>
  </si>
  <si>
    <t xml:space="preserve">İF1</t>
  </si>
  <si>
    <t xml:space="preserve">İzolasyon flanşı (gaz borusu)</t>
  </si>
  <si>
    <t xml:space="preserve">gaz girişi</t>
  </si>
  <si>
    <t xml:space="preserve">gaz şebekesi yönetmeliğine uygun</t>
  </si>
  <si>
    <t xml:space="preserve">EK1</t>
  </si>
  <si>
    <t xml:space="preserve">Eksotermik kaynak (kalıp + toz kartuşu)</t>
  </si>
  <si>
    <t xml:space="preserve">çubuk + iniş + PE1/PE2 + TE1 + EB</t>
  </si>
  <si>
    <t xml:space="preserve">50 mm² uyumlu kartuş</t>
  </si>
  <si>
    <t xml:space="preserve">Eksotermik kaynak kalıbı (yeniden kullanılır)</t>
  </si>
  <si>
    <t xml:space="preserve">çubuk-halka, T bağlantı, kelepçe tipi</t>
  </si>
  <si>
    <t xml:space="preserve">grafit kalıp</t>
  </si>
  <si>
    <t xml:space="preserve">Bitümlü koruma bandı (yeraltı bağlantılar)</t>
  </si>
  <si>
    <t xml:space="preserve">10 bağlantıya 1 rulo</t>
  </si>
  <si>
    <t xml:space="preserve">KESİCİ SELEKTİVİTESİ: Q0 → RCR0 (RCD) → RCD1-2 / RCBO ve kısa devre kapasiteleri</t>
  </si>
  <si>
    <t xml:space="preserve">Trafo gücü (kVA)</t>
  </si>
  <si>
    <t xml:space="preserve">uk (%)</t>
  </si>
  <si>
    <t xml:space="preserve">ur (%)</t>
  </si>
  <si>
    <t xml:space="preserve">Trafo-pano mesafesi (m)</t>
  </si>
  <si>
    <t xml:space="preserve">W0 kesiti (mm²)</t>
  </si>
  <si>
    <t xml:space="preserve">Q0 Icu (kA)</t>
  </si>
  <si>
    <t xml:space="preserve">Q0 Icw (kA) (varsayım)</t>
  </si>
  <si>
    <t xml:space="preserve">Q0 Isd (×Ir)</t>
  </si>
  <si>
    <t xml:space="preserve">Q0 tsd (ms)</t>
  </si>
  <si>
    <t xml:space="preserve">RCR0 I∆n (mA)</t>
  </si>
  <si>
    <t xml:space="preserve">RCR0 gecikme (ms)</t>
  </si>
  <si>
    <t xml:space="preserve">Min. I∆n oranı</t>
  </si>
  <si>
    <t xml:space="preserve">Zaman payı (ms)</t>
  </si>
  <si>
    <t xml:space="preserve">Alt kademe kısa devre açma süresi (ms) (varsayım)</t>
  </si>
  <si>
    <t xml:space="preserve">Gerekli minimum Q0 Icu (kA) (istek)</t>
  </si>
  <si>
    <t xml:space="preserve">A) KISA DEVRE HESABI</t>
  </si>
  <si>
    <t xml:space="preserve">Trafo nominal akımı In</t>
  </si>
  <si>
    <t xml:space="preserve">A</t>
  </si>
  <si>
    <t xml:space="preserve">Trafo uçları Ik'' (sonsuz şebeke)</t>
  </si>
  <si>
    <t xml:space="preserve">kA</t>
  </si>
  <si>
    <t xml:space="preserve">Z_T (trafo)</t>
  </si>
  <si>
    <t xml:space="preserve">Ω</t>
  </si>
  <si>
    <t xml:space="preserve">R_T</t>
  </si>
  <si>
    <t xml:space="preserve">X_T</t>
  </si>
  <si>
    <t xml:space="preserve">W0 direnci R_c (20 °C, κ=56)</t>
  </si>
  <si>
    <t xml:space="preserve">W0 reaktansı X_c</t>
  </si>
  <si>
    <t xml:space="preserve">Z toplam</t>
  </si>
  <si>
    <t xml:space="preserve">PN1 barası Ik'' (3 faz, maks.)</t>
  </si>
  <si>
    <t xml:space="preserve">B) KISA DEVRE KAPASİTESİ KONTROLÜ</t>
  </si>
  <si>
    <t xml:space="preserve">Kademe</t>
  </si>
  <si>
    <t xml:space="preserve">Cihaz</t>
  </si>
  <si>
    <t xml:space="preserve">In / Ir (A)</t>
  </si>
  <si>
    <t xml:space="preserve">I∆n (mA)</t>
  </si>
  <si>
    <t xml:space="preserve">Açma süresi / gecikme (ms)</t>
  </si>
  <si>
    <t xml:space="preserve">Icu / Icn / Inc (kA)</t>
  </si>
  <si>
    <t xml:space="preserve">Ik (kA)</t>
  </si>
  <si>
    <t xml:space="preserve">Kapasite ≥ Ik</t>
  </si>
  <si>
    <t xml:space="preserve">1</t>
  </si>
  <si>
    <t xml:space="preserve">MCCB 4P 250 A</t>
  </si>
  <si>
    <t xml:space="preserve">Q0 Icu ≥ 25 kA istek şartı ayrıca kontrol edilir</t>
  </si>
  <si>
    <t xml:space="preserve">2</t>
  </si>
  <si>
    <t xml:space="preserve">Gecikmeli kaçak akım rölesi (Q0 üzerinden açar)</t>
  </si>
  <si>
    <t xml:space="preserve">Kesme Q0 ile yapılır</t>
  </si>
  <si>
    <t xml:space="preserve">3</t>
  </si>
  <si>
    <t xml:space="preserve">MCB 4P C63 A</t>
  </si>
  <si>
    <t xml:space="preserve">RCD1-2 yedek koruması</t>
  </si>
  <si>
    <t xml:space="preserve">MCB 4P C25 A (dış aydınlatma)</t>
  </si>
  <si>
    <t xml:space="preserve">KM1 ve PJ RCBO'ları yedek koruması</t>
  </si>
  <si>
    <t xml:space="preserve">Kontaktör 3P 25 A (Q3 ile koordineli)</t>
  </si>
  <si>
    <t xml:space="preserve">Kısa devre koruması Q3 (koordinasyon tipi 1)</t>
  </si>
  <si>
    <t xml:space="preserve">RCD 4P 63 A, Tip B (alt: F)</t>
  </si>
  <si>
    <t xml:space="preserve">Inc: yedek koruma (Q1/Q2) ile birlikte</t>
  </si>
  <si>
    <t xml:space="preserve">4</t>
  </si>
  <si>
    <t xml:space="preserve">MPCB 3P 11-16 A</t>
  </si>
  <si>
    <t xml:space="preserve">AV1, PZ1–PZ3, LD1–LD3, PJ1–PJ3, KR1, SS1–SS3, AC1, YA1</t>
  </si>
  <si>
    <t xml:space="preserve">RCBO 1P+N, 30 mA, Tip A</t>
  </si>
  <si>
    <t xml:space="preserve">10-16</t>
  </si>
  <si>
    <t xml:space="preserve">6 kA yetmez: Ik &gt; 6 kA; LED hatlarında C eğrisi (inrush)</t>
  </si>
  <si>
    <t xml:space="preserve">Q0 ≥ 25 kA şartı</t>
  </si>
  <si>
    <t xml:space="preserve">Q0 Icu ≥ istenen minimum</t>
  </si>
  <si>
    <t xml:space="preserve">C) KAÇAK AKIM SELEKTİVİTESİ (üst kademe → alt kademe)</t>
  </si>
  <si>
    <t xml:space="preserve">Üst</t>
  </si>
  <si>
    <t xml:space="preserve">Alt</t>
  </si>
  <si>
    <t xml:space="preserve">Üst I∆n (mA)</t>
  </si>
  <si>
    <t xml:space="preserve">Alt I∆n (mA)</t>
  </si>
  <si>
    <t xml:space="preserve">I∆n oranı</t>
  </si>
  <si>
    <t xml:space="preserve">Oran ≥ min</t>
  </si>
  <si>
    <t xml:space="preserve">Üst gecikme (ms)</t>
  </si>
  <si>
    <t xml:space="preserve">Alt açma (ms)</t>
  </si>
  <si>
    <t xml:space="preserve">Zaman ≥ alt+pay</t>
  </si>
  <si>
    <t xml:space="preserve">Sonuç</t>
  </si>
  <si>
    <t xml:space="preserve">RCD1 / RCD2</t>
  </si>
  <si>
    <t xml:space="preserve">RCBO (AY, PR, KR, SS, AC, YA)</t>
  </si>
  <si>
    <t xml:space="preserve">D) AŞIRI AKIM SEÇİCİLİĞİ (Q0 zaman gecikmeli, alt kademeler anlık)</t>
  </si>
  <si>
    <t xml:space="preserve">Parametre</t>
  </si>
  <si>
    <t xml:space="preserve">Değer</t>
  </si>
  <si>
    <t xml:space="preserve">Kontrol</t>
  </si>
  <si>
    <t xml:space="preserve">Q0 kısa zaman eşiği Isd = Ir × katsayı</t>
  </si>
  <si>
    <t xml:space="preserve">Q0 Ii (anlık) kapalı</t>
  </si>
  <si>
    <t xml:space="preserve">Q0 kısa zaman gecikmesi tsd</t>
  </si>
  <si>
    <t xml:space="preserve">ms</t>
  </si>
  <si>
    <t xml:space="preserve">tsd ≥ alt kademe açma süresi + pay</t>
  </si>
  <si>
    <t xml:space="preserve">Q0 Icw ≥ PN1 barası Ik</t>
  </si>
  <si>
    <t xml:space="preserve">Icw değeri üretici kataloğundan doğrulanmalı</t>
  </si>
  <si>
    <t xml:space="preserve">PN1 barası Ik (alt kademe max. kısa devre)</t>
  </si>
  <si>
    <t xml:space="preserve">Alt kademe cihazlar Ik'yı kesebilmeli (bölüm B)</t>
  </si>
  <si>
    <t xml:space="preserve">Not: Tam seçicilik için üretici seçicilik (kademelendirme) tabloları ile Q0 → Q1/Q2 ve Q0 → RCBO çiftleri ayrıca doğrulanmalıdır.</t>
  </si>
  <si>
    <t xml:space="preserve">Not: Q0 Ii (anlık) kapalı/yüksek ayarlıdır; bu durumda Q0 Icw ≥ Ik ve kablo/bara termik dayanımı sağlanmalıdır.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</si>
</sst>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.000"/>
    <numFmt numFmtId="168" formatCode="0"/>
    <numFmt numFmtId="169" formatCode="0.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8"/>
    <col collapsed="false" customWidth="true" hidden="false" outlineLevel="0" max="7" min="6" style="0" width="14"/>
    <col collapsed="false" customWidth="true" hidden="false" outlineLevel="0" max="13" min="8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230</v>
      </c>
      <c r="D4" s="5" t="s">
        <v>3</v>
      </c>
    </row>
    <row r="5" customFormat="false" ht="15" hidden="false" customHeight="false" outlineLevel="0" collapsed="false">
      <c r="A5" s="3" t="s">
        <v>4</v>
      </c>
      <c r="B5" s="4" t="n">
        <v>400</v>
      </c>
      <c r="D5" s="5" t="s">
        <v>5</v>
      </c>
    </row>
    <row r="6" customFormat="false" ht="15" hidden="false" customHeight="false" outlineLevel="0" collapsed="false">
      <c r="A6" s="3" t="s">
        <v>6</v>
      </c>
      <c r="B6" s="4" t="n">
        <v>160</v>
      </c>
    </row>
    <row r="7" customFormat="false" ht="15" hidden="false" customHeight="false" outlineLevel="0" collapsed="false">
      <c r="A7" s="3" t="s">
        <v>7</v>
      </c>
      <c r="B7" s="4" t="n">
        <v>25</v>
      </c>
    </row>
    <row r="8" customFormat="false" ht="15" hidden="false" customHeight="false" outlineLevel="0" collapsed="false">
      <c r="H8" s="6" t="s">
        <v>8</v>
      </c>
      <c r="I8" s="6"/>
      <c r="J8" s="6"/>
      <c r="K8" s="6" t="s">
        <v>9</v>
      </c>
      <c r="L8" s="6"/>
      <c r="M8" s="6"/>
    </row>
    <row r="9" customFormat="false" ht="23.85" hidden="false" customHeight="false" outlineLevel="0" collapsed="false">
      <c r="A9" s="7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7" t="s">
        <v>19</v>
      </c>
      <c r="K9" s="7" t="s">
        <v>17</v>
      </c>
      <c r="L9" s="7" t="s">
        <v>18</v>
      </c>
      <c r="M9" s="7" t="s">
        <v>19</v>
      </c>
    </row>
    <row r="10" customFormat="false" ht="15" hidden="false" customHeight="false" outlineLevel="0" collapsed="false">
      <c r="A10" s="3" t="s">
        <v>20</v>
      </c>
      <c r="B10" s="8" t="s">
        <v>21</v>
      </c>
      <c r="C10" s="9" t="n">
        <v>7</v>
      </c>
      <c r="D10" s="10" t="s">
        <v>22</v>
      </c>
      <c r="E10" s="9" t="n">
        <v>0.9</v>
      </c>
      <c r="F10" s="9" t="n">
        <v>0.95</v>
      </c>
      <c r="G10" s="11" t="n">
        <f aca="false">C10*F10</f>
        <v>6.65</v>
      </c>
      <c r="H10" s="11" t="n">
        <f aca="false">IF($D10="3F",$G10/3,IF($D10=H$9,$G10,0))</f>
        <v>2.21666666666667</v>
      </c>
      <c r="I10" s="11" t="n">
        <f aca="false">IF($D10="3F",$G10/3,IF($D10=I$9,$G10,0))</f>
        <v>2.21666666666667</v>
      </c>
      <c r="J10" s="11" t="n">
        <f aca="false">IF($D10="3F",$G10/3,IF($D10=J$9,$G10,0))</f>
        <v>2.21666666666667</v>
      </c>
      <c r="K10" s="12" t="n">
        <f aca="false">IF($D10="3F",$G10*1000/(3*$B$4*$E10),IF($D10=K$9,$G10*1000/($B$4*$E10),0))</f>
        <v>10.7085346215781</v>
      </c>
      <c r="L10" s="12" t="n">
        <f aca="false">IF($D10="3F",$G10*1000/(3*$B$4*$E10),IF($D10=L$9,$G10*1000/($B$4*$E10),0))</f>
        <v>10.7085346215781</v>
      </c>
      <c r="M10" s="12" t="n">
        <f aca="false">IF($D10="3F",$G10*1000/(3*$B$4*$E10),IF($D10=M$9,$G10*1000/($B$4*$E10),0))</f>
        <v>10.7085346215781</v>
      </c>
    </row>
    <row r="11" customFormat="false" ht="15" hidden="false" customHeight="false" outlineLevel="0" collapsed="false">
      <c r="A11" s="3" t="s">
        <v>23</v>
      </c>
      <c r="B11" s="8" t="s">
        <v>24</v>
      </c>
      <c r="C11" s="9" t="n">
        <v>7</v>
      </c>
      <c r="D11" s="10" t="s">
        <v>22</v>
      </c>
      <c r="E11" s="9" t="n">
        <v>0.9</v>
      </c>
      <c r="F11" s="9" t="n">
        <v>0.95</v>
      </c>
      <c r="G11" s="11" t="n">
        <f aca="false">C11*F11</f>
        <v>6.65</v>
      </c>
      <c r="H11" s="11" t="n">
        <f aca="false">IF($D11="3F",$G11/3,IF($D11=H$9,$G11,0))</f>
        <v>2.21666666666667</v>
      </c>
      <c r="I11" s="11" t="n">
        <f aca="false">IF($D11="3F",$G11/3,IF($D11=I$9,$G11,0))</f>
        <v>2.21666666666667</v>
      </c>
      <c r="J11" s="11" t="n">
        <f aca="false">IF($D11="3F",$G11/3,IF($D11=J$9,$G11,0))</f>
        <v>2.21666666666667</v>
      </c>
      <c r="K11" s="12" t="n">
        <f aca="false">IF($D11="3F",$G11*1000/(3*$B$4*$E11),IF($D11=K$9,$G11*1000/($B$4*$E11),0))</f>
        <v>10.7085346215781</v>
      </c>
      <c r="L11" s="12" t="n">
        <f aca="false">IF($D11="3F",$G11*1000/(3*$B$4*$E11),IF($D11=L$9,$G11*1000/($B$4*$E11),0))</f>
        <v>10.7085346215781</v>
      </c>
      <c r="M11" s="12" t="n">
        <f aca="false">IF($D11="3F",$G11*1000/(3*$B$4*$E11),IF($D11=M$9,$G11*1000/($B$4*$E11),0))</f>
        <v>10.7085346215781</v>
      </c>
    </row>
    <row r="12" customFormat="false" ht="15" hidden="false" customHeight="false" outlineLevel="0" collapsed="false">
      <c r="A12" s="3" t="s">
        <v>25</v>
      </c>
      <c r="B12" s="8" t="s">
        <v>26</v>
      </c>
      <c r="C12" s="9" t="n">
        <v>7</v>
      </c>
      <c r="D12" s="10" t="s">
        <v>22</v>
      </c>
      <c r="E12" s="9" t="n">
        <v>0.9</v>
      </c>
      <c r="F12" s="9" t="n">
        <v>0.95</v>
      </c>
      <c r="G12" s="11" t="n">
        <f aca="false">C12*F12</f>
        <v>6.65</v>
      </c>
      <c r="H12" s="11" t="n">
        <f aca="false">IF($D12="3F",$G12/3,IF($D12=H$9,$G12,0))</f>
        <v>2.21666666666667</v>
      </c>
      <c r="I12" s="11" t="n">
        <f aca="false">IF($D12="3F",$G12/3,IF($D12=I$9,$G12,0))</f>
        <v>2.21666666666667</v>
      </c>
      <c r="J12" s="11" t="n">
        <f aca="false">IF($D12="3F",$G12/3,IF($D12=J$9,$G12,0))</f>
        <v>2.21666666666667</v>
      </c>
      <c r="K12" s="12" t="n">
        <f aca="false">IF($D12="3F",$G12*1000/(3*$B$4*$E12),IF($D12=K$9,$G12*1000/($B$4*$E12),0))</f>
        <v>10.7085346215781</v>
      </c>
      <c r="L12" s="12" t="n">
        <f aca="false">IF($D12="3F",$G12*1000/(3*$B$4*$E12),IF($D12=L$9,$G12*1000/($B$4*$E12),0))</f>
        <v>10.7085346215781</v>
      </c>
      <c r="M12" s="12" t="n">
        <f aca="false">IF($D12="3F",$G12*1000/(3*$B$4*$E12),IF($D12=M$9,$G12*1000/($B$4*$E12),0))</f>
        <v>10.7085346215781</v>
      </c>
    </row>
    <row r="13" customFormat="false" ht="15" hidden="false" customHeight="false" outlineLevel="0" collapsed="false">
      <c r="A13" s="3" t="s">
        <v>27</v>
      </c>
      <c r="B13" s="8" t="s">
        <v>28</v>
      </c>
      <c r="C13" s="9" t="n">
        <v>7</v>
      </c>
      <c r="D13" s="10" t="s">
        <v>22</v>
      </c>
      <c r="E13" s="9" t="n">
        <v>0.9</v>
      </c>
      <c r="F13" s="9" t="n">
        <v>0.95</v>
      </c>
      <c r="G13" s="11" t="n">
        <f aca="false">C13*F13</f>
        <v>6.65</v>
      </c>
      <c r="H13" s="11" t="n">
        <f aca="false">IF($D13="3F",$G13/3,IF($D13=H$9,$G13,0))</f>
        <v>2.21666666666667</v>
      </c>
      <c r="I13" s="11" t="n">
        <f aca="false">IF($D13="3F",$G13/3,IF($D13=I$9,$G13,0))</f>
        <v>2.21666666666667</v>
      </c>
      <c r="J13" s="11" t="n">
        <f aca="false">IF($D13="3F",$G13/3,IF($D13=J$9,$G13,0))</f>
        <v>2.21666666666667</v>
      </c>
      <c r="K13" s="12" t="n">
        <f aca="false">IF($D13="3F",$G13*1000/(3*$B$4*$E13),IF($D13=K$9,$G13*1000/($B$4*$E13),0))</f>
        <v>10.7085346215781</v>
      </c>
      <c r="L13" s="12" t="n">
        <f aca="false">IF($D13="3F",$G13*1000/(3*$B$4*$E13),IF($D13=L$9,$G13*1000/($B$4*$E13),0))</f>
        <v>10.7085346215781</v>
      </c>
      <c r="M13" s="12" t="n">
        <f aca="false">IF($D13="3F",$G13*1000/(3*$B$4*$E13),IF($D13=M$9,$G13*1000/($B$4*$E13),0))</f>
        <v>10.7085346215781</v>
      </c>
    </row>
    <row r="14" customFormat="false" ht="15" hidden="false" customHeight="false" outlineLevel="0" collapsed="false">
      <c r="A14" s="3" t="s">
        <v>29</v>
      </c>
      <c r="B14" s="8" t="s">
        <v>30</v>
      </c>
      <c r="C14" s="9" t="n">
        <v>7</v>
      </c>
      <c r="D14" s="10" t="s">
        <v>22</v>
      </c>
      <c r="E14" s="9" t="n">
        <v>0.9</v>
      </c>
      <c r="F14" s="9" t="n">
        <v>0.95</v>
      </c>
      <c r="G14" s="11" t="n">
        <f aca="false">C14*F14</f>
        <v>6.65</v>
      </c>
      <c r="H14" s="11" t="n">
        <f aca="false">IF($D14="3F",$G14/3,IF($D14=H$9,$G14,0))</f>
        <v>2.21666666666667</v>
      </c>
      <c r="I14" s="11" t="n">
        <f aca="false">IF($D14="3F",$G14/3,IF($D14=I$9,$G14,0))</f>
        <v>2.21666666666667</v>
      </c>
      <c r="J14" s="11" t="n">
        <f aca="false">IF($D14="3F",$G14/3,IF($D14=J$9,$G14,0))</f>
        <v>2.21666666666667</v>
      </c>
      <c r="K14" s="12" t="n">
        <f aca="false">IF($D14="3F",$G14*1000/(3*$B$4*$E14),IF($D14=K$9,$G14*1000/($B$4*$E14),0))</f>
        <v>10.7085346215781</v>
      </c>
      <c r="L14" s="12" t="n">
        <f aca="false">IF($D14="3F",$G14*1000/(3*$B$4*$E14),IF($D14=L$9,$G14*1000/($B$4*$E14),0))</f>
        <v>10.7085346215781</v>
      </c>
      <c r="M14" s="12" t="n">
        <f aca="false">IF($D14="3F",$G14*1000/(3*$B$4*$E14),IF($D14=M$9,$G14*1000/($B$4*$E14),0))</f>
        <v>10.7085346215781</v>
      </c>
    </row>
    <row r="15" customFormat="false" ht="15" hidden="false" customHeight="false" outlineLevel="0" collapsed="false">
      <c r="A15" s="3" t="s">
        <v>31</v>
      </c>
      <c r="B15" s="8" t="s">
        <v>32</v>
      </c>
      <c r="C15" s="9" t="n">
        <v>7</v>
      </c>
      <c r="D15" s="10" t="s">
        <v>22</v>
      </c>
      <c r="E15" s="9" t="n">
        <v>0.9</v>
      </c>
      <c r="F15" s="9" t="n">
        <v>0.95</v>
      </c>
      <c r="G15" s="11" t="n">
        <f aca="false">C15*F15</f>
        <v>6.65</v>
      </c>
      <c r="H15" s="11" t="n">
        <f aca="false">IF($D15="3F",$G15/3,IF($D15=H$9,$G15,0))</f>
        <v>2.21666666666667</v>
      </c>
      <c r="I15" s="11" t="n">
        <f aca="false">IF($D15="3F",$G15/3,IF($D15=I$9,$G15,0))</f>
        <v>2.21666666666667</v>
      </c>
      <c r="J15" s="11" t="n">
        <f aca="false">IF($D15="3F",$G15/3,IF($D15=J$9,$G15,0))</f>
        <v>2.21666666666667</v>
      </c>
      <c r="K15" s="12" t="n">
        <f aca="false">IF($D15="3F",$G15*1000/(3*$B$4*$E15),IF($D15=K$9,$G15*1000/($B$4*$E15),0))</f>
        <v>10.7085346215781</v>
      </c>
      <c r="L15" s="12" t="n">
        <f aca="false">IF($D15="3F",$G15*1000/(3*$B$4*$E15),IF($D15=L$9,$G15*1000/($B$4*$E15),0))</f>
        <v>10.7085346215781</v>
      </c>
      <c r="M15" s="12" t="n">
        <f aca="false">IF($D15="3F",$G15*1000/(3*$B$4*$E15),IF($D15=M$9,$G15*1000/($B$4*$E15),0))</f>
        <v>10.7085346215781</v>
      </c>
    </row>
    <row r="16" customFormat="false" ht="15" hidden="false" customHeight="false" outlineLevel="0" collapsed="false">
      <c r="A16" s="3" t="s">
        <v>33</v>
      </c>
      <c r="B16" s="13" t="s">
        <v>34</v>
      </c>
      <c r="C16" s="9" t="n">
        <v>2</v>
      </c>
      <c r="D16" s="10" t="s">
        <v>17</v>
      </c>
      <c r="E16" s="9" t="n">
        <v>0.95</v>
      </c>
      <c r="F16" s="9" t="n">
        <v>1</v>
      </c>
      <c r="G16" s="11" t="n">
        <f aca="false">C16*F16</f>
        <v>2</v>
      </c>
      <c r="H16" s="11" t="n">
        <f aca="false">IF($D16="3F",$G16/3,IF($D16=H$9,$G16,0))</f>
        <v>2</v>
      </c>
      <c r="I16" s="11" t="n">
        <f aca="false">IF($D16="3F",$G16/3,IF($D16=I$9,$G16,0))</f>
        <v>0</v>
      </c>
      <c r="J16" s="11" t="n">
        <f aca="false">IF($D16="3F",$G16/3,IF($D16=J$9,$G16,0))</f>
        <v>0</v>
      </c>
      <c r="K16" s="12" t="n">
        <f aca="false">IF($D16="3F",$G16*1000/(3*$B$4*$E16),IF($D16=K$9,$G16*1000/($B$4*$E16),0))</f>
        <v>9.1533180778032</v>
      </c>
      <c r="L16" s="12" t="n">
        <f aca="false">IF($D16="3F",$G16*1000/(3*$B$4*$E16),IF($D16=L$9,$G16*1000/($B$4*$E16),0))</f>
        <v>0</v>
      </c>
      <c r="M16" s="12" t="n">
        <f aca="false">IF($D16="3F",$G16*1000/(3*$B$4*$E16),IF($D16=M$9,$G16*1000/($B$4*$E16),0))</f>
        <v>0</v>
      </c>
    </row>
    <row r="17" customFormat="false" ht="15" hidden="false" customHeight="false" outlineLevel="0" collapsed="false">
      <c r="A17" s="3" t="s">
        <v>35</v>
      </c>
      <c r="B17" s="13" t="s">
        <v>36</v>
      </c>
      <c r="C17" s="9" t="n">
        <v>3</v>
      </c>
      <c r="D17" s="10" t="s">
        <v>18</v>
      </c>
      <c r="E17" s="9" t="n">
        <v>0.9</v>
      </c>
      <c r="F17" s="9" t="n">
        <v>0.5</v>
      </c>
      <c r="G17" s="11" t="n">
        <f aca="false">C17*F17</f>
        <v>1.5</v>
      </c>
      <c r="H17" s="11" t="n">
        <f aca="false">IF($D17="3F",$G17/3,IF($D17=H$9,$G17,0))</f>
        <v>0</v>
      </c>
      <c r="I17" s="11" t="n">
        <f aca="false">IF($D17="3F",$G17/3,IF($D17=I$9,$G17,0))</f>
        <v>1.5</v>
      </c>
      <c r="J17" s="11" t="n">
        <f aca="false">IF($D17="3F",$G17/3,IF($D17=J$9,$G17,0))</f>
        <v>0</v>
      </c>
      <c r="K17" s="12" t="n">
        <f aca="false">IF($D17="3F",$G17*1000/(3*$B$4*$E17),IF($D17=K$9,$G17*1000/($B$4*$E17),0))</f>
        <v>0</v>
      </c>
      <c r="L17" s="12" t="n">
        <f aca="false">IF($D17="3F",$G17*1000/(3*$B$4*$E17),IF($D17=L$9,$G17*1000/($B$4*$E17),0))</f>
        <v>7.2463768115942</v>
      </c>
      <c r="M17" s="12" t="n">
        <f aca="false">IF($D17="3F",$G17*1000/(3*$B$4*$E17),IF($D17=M$9,$G17*1000/($B$4*$E17),0))</f>
        <v>0</v>
      </c>
    </row>
    <row r="18" customFormat="false" ht="15" hidden="false" customHeight="false" outlineLevel="0" collapsed="false">
      <c r="A18" s="3" t="s">
        <v>37</v>
      </c>
      <c r="B18" s="13" t="s">
        <v>38</v>
      </c>
      <c r="C18" s="9" t="n">
        <v>3</v>
      </c>
      <c r="D18" s="10" t="s">
        <v>19</v>
      </c>
      <c r="E18" s="9" t="n">
        <v>0.9</v>
      </c>
      <c r="F18" s="9" t="n">
        <v>0.5</v>
      </c>
      <c r="G18" s="11" t="n">
        <f aca="false">C18*F18</f>
        <v>1.5</v>
      </c>
      <c r="H18" s="11" t="n">
        <f aca="false">IF($D18="3F",$G18/3,IF($D18=H$9,$G18,0))</f>
        <v>0</v>
      </c>
      <c r="I18" s="11" t="n">
        <f aca="false">IF($D18="3F",$G18/3,IF($D18=I$9,$G18,0))</f>
        <v>0</v>
      </c>
      <c r="J18" s="11" t="n">
        <f aca="false">IF($D18="3F",$G18/3,IF($D18=J$9,$G18,0))</f>
        <v>1.5</v>
      </c>
      <c r="K18" s="12" t="n">
        <f aca="false">IF($D18="3F",$G18*1000/(3*$B$4*$E18),IF($D18=K$9,$G18*1000/($B$4*$E18),0))</f>
        <v>0</v>
      </c>
      <c r="L18" s="12" t="n">
        <f aca="false">IF($D18="3F",$G18*1000/(3*$B$4*$E18),IF($D18=L$9,$G18*1000/($B$4*$E18),0))</f>
        <v>0</v>
      </c>
      <c r="M18" s="12" t="n">
        <f aca="false">IF($D18="3F",$G18*1000/(3*$B$4*$E18),IF($D18=M$9,$G18*1000/($B$4*$E18),0))</f>
        <v>7.2463768115942</v>
      </c>
    </row>
    <row r="19" customFormat="false" ht="15" hidden="false" customHeight="false" outlineLevel="0" collapsed="false">
      <c r="A19" s="3" t="s">
        <v>39</v>
      </c>
      <c r="B19" s="13" t="s">
        <v>40</v>
      </c>
      <c r="C19" s="9" t="n">
        <v>3</v>
      </c>
      <c r="D19" s="10" t="s">
        <v>17</v>
      </c>
      <c r="E19" s="9" t="n">
        <v>0.9</v>
      </c>
      <c r="F19" s="9" t="n">
        <v>0.5</v>
      </c>
      <c r="G19" s="11" t="n">
        <f aca="false">C19*F19</f>
        <v>1.5</v>
      </c>
      <c r="H19" s="11" t="n">
        <f aca="false">IF($D19="3F",$G19/3,IF($D19=H$9,$G19,0))</f>
        <v>1.5</v>
      </c>
      <c r="I19" s="11" t="n">
        <f aca="false">IF($D19="3F",$G19/3,IF($D19=I$9,$G19,0))</f>
        <v>0</v>
      </c>
      <c r="J19" s="11" t="n">
        <f aca="false">IF($D19="3F",$G19/3,IF($D19=J$9,$G19,0))</f>
        <v>0</v>
      </c>
      <c r="K19" s="12" t="n">
        <f aca="false">IF($D19="3F",$G19*1000/(3*$B$4*$E19),IF($D19=K$9,$G19*1000/($B$4*$E19),0))</f>
        <v>7.2463768115942</v>
      </c>
      <c r="L19" s="12" t="n">
        <f aca="false">IF($D19="3F",$G19*1000/(3*$B$4*$E19),IF($D19=L$9,$G19*1000/($B$4*$E19),0))</f>
        <v>0</v>
      </c>
      <c r="M19" s="12" t="n">
        <f aca="false">IF($D19="3F",$G19*1000/(3*$B$4*$E19),IF($D19=M$9,$G19*1000/($B$4*$E19),0))</f>
        <v>0</v>
      </c>
    </row>
    <row r="20" customFormat="false" ht="15" hidden="false" customHeight="false" outlineLevel="0" collapsed="false">
      <c r="A20" s="3" t="s">
        <v>41</v>
      </c>
      <c r="B20" s="13" t="s">
        <v>42</v>
      </c>
      <c r="C20" s="9" t="n">
        <v>0.255</v>
      </c>
      <c r="D20" s="10" t="s">
        <v>18</v>
      </c>
      <c r="E20" s="9" t="n">
        <v>0.9</v>
      </c>
      <c r="F20" s="9" t="n">
        <v>1</v>
      </c>
      <c r="G20" s="11" t="n">
        <f aca="false">C20*F20</f>
        <v>0.255</v>
      </c>
      <c r="H20" s="11" t="n">
        <f aca="false">IF($D20="3F",$G20/3,IF($D20=H$9,$G20,0))</f>
        <v>0</v>
      </c>
      <c r="I20" s="11" t="n">
        <f aca="false">IF($D20="3F",$G20/3,IF($D20=I$9,$G20,0))</f>
        <v>0.255</v>
      </c>
      <c r="J20" s="11" t="n">
        <f aca="false">IF($D20="3F",$G20/3,IF($D20=J$9,$G20,0))</f>
        <v>0</v>
      </c>
      <c r="K20" s="12" t="n">
        <f aca="false">IF($D20="3F",$G20*1000/(3*$B$4*$E20),IF($D20=K$9,$G20*1000/($B$4*$E20),0))</f>
        <v>0</v>
      </c>
      <c r="L20" s="12" t="n">
        <f aca="false">IF($D20="3F",$G20*1000/(3*$B$4*$E20),IF($D20=L$9,$G20*1000/($B$4*$E20),0))</f>
        <v>1.23188405797101</v>
      </c>
      <c r="M20" s="12" t="n">
        <f aca="false">IF($D20="3F",$G20*1000/(3*$B$4*$E20),IF($D20=M$9,$G20*1000/($B$4*$E20),0))</f>
        <v>0</v>
      </c>
    </row>
    <row r="21" customFormat="false" ht="15" hidden="false" customHeight="false" outlineLevel="0" collapsed="false">
      <c r="A21" s="3" t="s">
        <v>43</v>
      </c>
      <c r="B21" s="13" t="s">
        <v>44</v>
      </c>
      <c r="C21" s="9" t="n">
        <v>0.255</v>
      </c>
      <c r="D21" s="10" t="s">
        <v>17</v>
      </c>
      <c r="E21" s="9" t="n">
        <v>0.9</v>
      </c>
      <c r="F21" s="9" t="n">
        <v>1</v>
      </c>
      <c r="G21" s="11" t="n">
        <f aca="false">C21*F21</f>
        <v>0.255</v>
      </c>
      <c r="H21" s="11" t="n">
        <f aca="false">IF($D21="3F",$G21/3,IF($D21=H$9,$G21,0))</f>
        <v>0.255</v>
      </c>
      <c r="I21" s="11" t="n">
        <f aca="false">IF($D21="3F",$G21/3,IF($D21=I$9,$G21,0))</f>
        <v>0</v>
      </c>
      <c r="J21" s="11" t="n">
        <f aca="false">IF($D21="3F",$G21/3,IF($D21=J$9,$G21,0))</f>
        <v>0</v>
      </c>
      <c r="K21" s="12" t="n">
        <f aca="false">IF($D21="3F",$G21*1000/(3*$B$4*$E21),IF($D21=K$9,$G21*1000/($B$4*$E21),0))</f>
        <v>1.23188405797101</v>
      </c>
      <c r="L21" s="12" t="n">
        <f aca="false">IF($D21="3F",$G21*1000/(3*$B$4*$E21),IF($D21=L$9,$G21*1000/($B$4*$E21),0))</f>
        <v>0</v>
      </c>
      <c r="M21" s="12" t="n">
        <f aca="false">IF($D21="3F",$G21*1000/(3*$B$4*$E21),IF($D21=M$9,$G21*1000/($B$4*$E21),0))</f>
        <v>0</v>
      </c>
    </row>
    <row r="22" customFormat="false" ht="15" hidden="false" customHeight="false" outlineLevel="0" collapsed="false">
      <c r="A22" s="3" t="s">
        <v>45</v>
      </c>
      <c r="B22" s="13" t="s">
        <v>46</v>
      </c>
      <c r="C22" s="9" t="n">
        <v>0.24</v>
      </c>
      <c r="D22" s="10" t="s">
        <v>19</v>
      </c>
      <c r="E22" s="9" t="n">
        <v>0.9</v>
      </c>
      <c r="F22" s="9" t="n">
        <v>1</v>
      </c>
      <c r="G22" s="11" t="n">
        <f aca="false">C22*F22</f>
        <v>0.24</v>
      </c>
      <c r="H22" s="11" t="n">
        <f aca="false">IF($D22="3F",$G22/3,IF($D22=H$9,$G22,0))</f>
        <v>0</v>
      </c>
      <c r="I22" s="11" t="n">
        <f aca="false">IF($D22="3F",$G22/3,IF($D22=I$9,$G22,0))</f>
        <v>0</v>
      </c>
      <c r="J22" s="11" t="n">
        <f aca="false">IF($D22="3F",$G22/3,IF($D22=J$9,$G22,0))</f>
        <v>0.24</v>
      </c>
      <c r="K22" s="12" t="n">
        <f aca="false">IF($D22="3F",$G22*1000/(3*$B$4*$E22),IF($D22=K$9,$G22*1000/($B$4*$E22),0))</f>
        <v>0</v>
      </c>
      <c r="L22" s="12" t="n">
        <f aca="false">IF($D22="3F",$G22*1000/(3*$B$4*$E22),IF($D22=L$9,$G22*1000/($B$4*$E22),0))</f>
        <v>0</v>
      </c>
      <c r="M22" s="12" t="n">
        <f aca="false">IF($D22="3F",$G22*1000/(3*$B$4*$E22),IF($D22=M$9,$G22*1000/($B$4*$E22),0))</f>
        <v>1.15942028985507</v>
      </c>
    </row>
    <row r="23" customFormat="false" ht="15" hidden="false" customHeight="false" outlineLevel="0" collapsed="false">
      <c r="A23" s="3" t="s">
        <v>47</v>
      </c>
      <c r="B23" s="13" t="s">
        <v>48</v>
      </c>
      <c r="C23" s="9" t="n">
        <v>0.4</v>
      </c>
      <c r="D23" s="10" t="s">
        <v>19</v>
      </c>
      <c r="E23" s="9" t="n">
        <v>0.9</v>
      </c>
      <c r="F23" s="9" t="n">
        <v>1</v>
      </c>
      <c r="G23" s="11" t="n">
        <f aca="false">C23*F23</f>
        <v>0.4</v>
      </c>
      <c r="H23" s="11" t="n">
        <f aca="false">IF($D23="3F",$G23/3,IF($D23=H$9,$G23,0))</f>
        <v>0</v>
      </c>
      <c r="I23" s="11" t="n">
        <f aca="false">IF($D23="3F",$G23/3,IF($D23=I$9,$G23,0))</f>
        <v>0</v>
      </c>
      <c r="J23" s="11" t="n">
        <f aca="false">IF($D23="3F",$G23/3,IF($D23=J$9,$G23,0))</f>
        <v>0.4</v>
      </c>
      <c r="K23" s="12" t="n">
        <f aca="false">IF($D23="3F",$G23*1000/(3*$B$4*$E23),IF($D23=K$9,$G23*1000/($B$4*$E23),0))</f>
        <v>0</v>
      </c>
      <c r="L23" s="12" t="n">
        <f aca="false">IF($D23="3F",$G23*1000/(3*$B$4*$E23),IF($D23=L$9,$G23*1000/($B$4*$E23),0))</f>
        <v>0</v>
      </c>
      <c r="M23" s="12" t="n">
        <f aca="false">IF($D23="3F",$G23*1000/(3*$B$4*$E23),IF($D23=M$9,$G23*1000/($B$4*$E23),0))</f>
        <v>1.93236714975845</v>
      </c>
    </row>
    <row r="24" customFormat="false" ht="15" hidden="false" customHeight="false" outlineLevel="0" collapsed="false">
      <c r="A24" s="3" t="s">
        <v>49</v>
      </c>
      <c r="B24" s="13" t="s">
        <v>50</v>
      </c>
      <c r="C24" s="9" t="n">
        <v>0.3</v>
      </c>
      <c r="D24" s="10" t="s">
        <v>18</v>
      </c>
      <c r="E24" s="9" t="n">
        <v>0.9</v>
      </c>
      <c r="F24" s="9" t="n">
        <v>1</v>
      </c>
      <c r="G24" s="11" t="n">
        <f aca="false">C24*F24</f>
        <v>0.3</v>
      </c>
      <c r="H24" s="11" t="n">
        <f aca="false">IF($D24="3F",$G24/3,IF($D24=H$9,$G24,0))</f>
        <v>0</v>
      </c>
      <c r="I24" s="11" t="n">
        <f aca="false">IF($D24="3F",$G24/3,IF($D24=I$9,$G24,0))</f>
        <v>0.3</v>
      </c>
      <c r="J24" s="11" t="n">
        <f aca="false">IF($D24="3F",$G24/3,IF($D24=J$9,$G24,0))</f>
        <v>0</v>
      </c>
      <c r="K24" s="12" t="n">
        <f aca="false">IF($D24="3F",$G24*1000/(3*$B$4*$E24),IF($D24=K$9,$G24*1000/($B$4*$E24),0))</f>
        <v>0</v>
      </c>
      <c r="L24" s="12" t="n">
        <f aca="false">IF($D24="3F",$G24*1000/(3*$B$4*$E24),IF($D24=L$9,$G24*1000/($B$4*$E24),0))</f>
        <v>1.44927536231884</v>
      </c>
      <c r="M24" s="12" t="n">
        <f aca="false">IF($D24="3F",$G24*1000/(3*$B$4*$E24),IF($D24=M$9,$G24*1000/($B$4*$E24),0))</f>
        <v>0</v>
      </c>
    </row>
    <row r="25" customFormat="false" ht="15" hidden="false" customHeight="false" outlineLevel="0" collapsed="false">
      <c r="A25" s="3" t="s">
        <v>51</v>
      </c>
      <c r="B25" s="13" t="s">
        <v>52</v>
      </c>
      <c r="C25" s="9" t="n">
        <v>0.3</v>
      </c>
      <c r="D25" s="10" t="s">
        <v>17</v>
      </c>
      <c r="E25" s="9" t="n">
        <v>0.9</v>
      </c>
      <c r="F25" s="9" t="n">
        <v>1</v>
      </c>
      <c r="G25" s="11" t="n">
        <f aca="false">C25*F25</f>
        <v>0.3</v>
      </c>
      <c r="H25" s="11" t="n">
        <f aca="false">IF($D25="3F",$G25/3,IF($D25=H$9,$G25,0))</f>
        <v>0.3</v>
      </c>
      <c r="I25" s="11" t="n">
        <f aca="false">IF($D25="3F",$G25/3,IF($D25=I$9,$G25,0))</f>
        <v>0</v>
      </c>
      <c r="J25" s="11" t="n">
        <f aca="false">IF($D25="3F",$G25/3,IF($D25=J$9,$G25,0))</f>
        <v>0</v>
      </c>
      <c r="K25" s="12" t="n">
        <f aca="false">IF($D25="3F",$G25*1000/(3*$B$4*$E25),IF($D25=K$9,$G25*1000/($B$4*$E25),0))</f>
        <v>1.44927536231884</v>
      </c>
      <c r="L25" s="12" t="n">
        <f aca="false">IF($D25="3F",$G25*1000/(3*$B$4*$E25),IF($D25=L$9,$G25*1000/($B$4*$E25),0))</f>
        <v>0</v>
      </c>
      <c r="M25" s="12" t="n">
        <f aca="false">IF($D25="3F",$G25*1000/(3*$B$4*$E25),IF($D25=M$9,$G25*1000/($B$4*$E25),0))</f>
        <v>0</v>
      </c>
    </row>
    <row r="26" customFormat="false" ht="15" hidden="false" customHeight="false" outlineLevel="0" collapsed="false">
      <c r="A26" s="3" t="s">
        <v>53</v>
      </c>
      <c r="B26" s="8" t="s">
        <v>54</v>
      </c>
      <c r="C26" s="9" t="n">
        <v>1.4</v>
      </c>
      <c r="D26" s="10" t="s">
        <v>18</v>
      </c>
      <c r="E26" s="9" t="n">
        <v>0.9</v>
      </c>
      <c r="F26" s="9" t="n">
        <v>1</v>
      </c>
      <c r="G26" s="11" t="n">
        <f aca="false">C26*F26</f>
        <v>1.4</v>
      </c>
      <c r="H26" s="11" t="n">
        <f aca="false">IF($D26="3F",$G26/3,IF($D26=H$9,$G26,0))</f>
        <v>0</v>
      </c>
      <c r="I26" s="11" t="n">
        <f aca="false">IF($D26="3F",$G26/3,IF($D26=I$9,$G26,0))</f>
        <v>1.4</v>
      </c>
      <c r="J26" s="11" t="n">
        <f aca="false">IF($D26="3F",$G26/3,IF($D26=J$9,$G26,0))</f>
        <v>0</v>
      </c>
      <c r="K26" s="12" t="n">
        <f aca="false">IF($D26="3F",$G26*1000/(3*$B$4*$E26),IF($D26=K$9,$G26*1000/($B$4*$E26),0))</f>
        <v>0</v>
      </c>
      <c r="L26" s="12" t="n">
        <f aca="false">IF($D26="3F",$G26*1000/(3*$B$4*$E26),IF($D26=L$9,$G26*1000/($B$4*$E26),0))</f>
        <v>6.76328502415459</v>
      </c>
      <c r="M26" s="12" t="n">
        <f aca="false">IF($D26="3F",$G26*1000/(3*$B$4*$E26),IF($D26=M$9,$G26*1000/($B$4*$E26),0))</f>
        <v>0</v>
      </c>
    </row>
    <row r="27" customFormat="false" ht="15" hidden="false" customHeight="false" outlineLevel="0" collapsed="false">
      <c r="A27" s="3" t="s">
        <v>55</v>
      </c>
      <c r="B27" s="8" t="s">
        <v>56</v>
      </c>
      <c r="C27" s="9" t="n">
        <v>0.6</v>
      </c>
      <c r="D27" s="10" t="s">
        <v>19</v>
      </c>
      <c r="E27" s="9" t="n">
        <v>0.9</v>
      </c>
      <c r="F27" s="9" t="n">
        <v>0.9</v>
      </c>
      <c r="G27" s="11" t="n">
        <f aca="false">C27*F27</f>
        <v>0.54</v>
      </c>
      <c r="H27" s="11" t="n">
        <f aca="false">IF($D27="3F",$G27/3,IF($D27=H$9,$G27,0))</f>
        <v>0</v>
      </c>
      <c r="I27" s="11" t="n">
        <f aca="false">IF($D27="3F",$G27/3,IF($D27=I$9,$G27,0))</f>
        <v>0</v>
      </c>
      <c r="J27" s="11" t="n">
        <f aca="false">IF($D27="3F",$G27/3,IF($D27=J$9,$G27,0))</f>
        <v>0.54</v>
      </c>
      <c r="K27" s="12" t="n">
        <f aca="false">IF($D27="3F",$G27*1000/(3*$B$4*$E27),IF($D27=K$9,$G27*1000/($B$4*$E27),0))</f>
        <v>0</v>
      </c>
      <c r="L27" s="12" t="n">
        <f aca="false">IF($D27="3F",$G27*1000/(3*$B$4*$E27),IF($D27=L$9,$G27*1000/($B$4*$E27),0))</f>
        <v>0</v>
      </c>
      <c r="M27" s="12" t="n">
        <f aca="false">IF($D27="3F",$G27*1000/(3*$B$4*$E27),IF($D27=M$9,$G27*1000/($B$4*$E27),0))</f>
        <v>2.60869565217391</v>
      </c>
    </row>
    <row r="28" customFormat="false" ht="15" hidden="false" customHeight="false" outlineLevel="0" collapsed="false">
      <c r="A28" s="3" t="s">
        <v>57</v>
      </c>
      <c r="B28" s="8" t="s">
        <v>58</v>
      </c>
      <c r="C28" s="9" t="n">
        <v>0.6</v>
      </c>
      <c r="D28" s="10" t="s">
        <v>19</v>
      </c>
      <c r="E28" s="9" t="n">
        <v>0.9</v>
      </c>
      <c r="F28" s="9" t="n">
        <v>0.9</v>
      </c>
      <c r="G28" s="11" t="n">
        <f aca="false">C28*F28</f>
        <v>0.54</v>
      </c>
      <c r="H28" s="11" t="n">
        <f aca="false">IF($D28="3F",$G28/3,IF($D28=H$9,$G28,0))</f>
        <v>0</v>
      </c>
      <c r="I28" s="11" t="n">
        <f aca="false">IF($D28="3F",$G28/3,IF($D28=I$9,$G28,0))</f>
        <v>0</v>
      </c>
      <c r="J28" s="11" t="n">
        <f aca="false">IF($D28="3F",$G28/3,IF($D28=J$9,$G28,0))</f>
        <v>0.54</v>
      </c>
      <c r="K28" s="12" t="n">
        <f aca="false">IF($D28="3F",$G28*1000/(3*$B$4*$E28),IF($D28=K$9,$G28*1000/($B$4*$E28),0))</f>
        <v>0</v>
      </c>
      <c r="L28" s="12" t="n">
        <f aca="false">IF($D28="3F",$G28*1000/(3*$B$4*$E28),IF($D28=L$9,$G28*1000/($B$4*$E28),0))</f>
        <v>0</v>
      </c>
      <c r="M28" s="12" t="n">
        <f aca="false">IF($D28="3F",$G28*1000/(3*$B$4*$E28),IF($D28=M$9,$G28*1000/($B$4*$E28),0))</f>
        <v>2.60869565217391</v>
      </c>
    </row>
    <row r="29" customFormat="false" ht="15" hidden="false" customHeight="false" outlineLevel="0" collapsed="false">
      <c r="A29" s="3" t="s">
        <v>59</v>
      </c>
      <c r="B29" s="8" t="s">
        <v>60</v>
      </c>
      <c r="C29" s="9" t="n">
        <v>0.6</v>
      </c>
      <c r="D29" s="10" t="s">
        <v>19</v>
      </c>
      <c r="E29" s="9" t="n">
        <v>0.9</v>
      </c>
      <c r="F29" s="9" t="n">
        <v>0.9</v>
      </c>
      <c r="G29" s="11" t="n">
        <f aca="false">C29*F29</f>
        <v>0.54</v>
      </c>
      <c r="H29" s="11" t="n">
        <f aca="false">IF($D29="3F",$G29/3,IF($D29=H$9,$G29,0))</f>
        <v>0</v>
      </c>
      <c r="I29" s="11" t="n">
        <f aca="false">IF($D29="3F",$G29/3,IF($D29=I$9,$G29,0))</f>
        <v>0</v>
      </c>
      <c r="J29" s="11" t="n">
        <f aca="false">IF($D29="3F",$G29/3,IF($D29=J$9,$G29,0))</f>
        <v>0.54</v>
      </c>
      <c r="K29" s="12" t="n">
        <f aca="false">IF($D29="3F",$G29*1000/(3*$B$4*$E29),IF($D29=K$9,$G29*1000/($B$4*$E29),0))</f>
        <v>0</v>
      </c>
      <c r="L29" s="12" t="n">
        <f aca="false">IF($D29="3F",$G29*1000/(3*$B$4*$E29),IF($D29=L$9,$G29*1000/($B$4*$E29),0))</f>
        <v>0</v>
      </c>
      <c r="M29" s="12" t="n">
        <f aca="false">IF($D29="3F",$G29*1000/(3*$B$4*$E29),IF($D29=M$9,$G29*1000/($B$4*$E29),0))</f>
        <v>2.60869565217391</v>
      </c>
    </row>
    <row r="30" customFormat="false" ht="15" hidden="false" customHeight="false" outlineLevel="0" collapsed="false">
      <c r="A30" s="3" t="s">
        <v>61</v>
      </c>
      <c r="B30" s="8" t="s">
        <v>62</v>
      </c>
      <c r="C30" s="9" t="n">
        <v>0.5</v>
      </c>
      <c r="D30" s="10" t="s">
        <v>18</v>
      </c>
      <c r="E30" s="9" t="n">
        <v>0.95</v>
      </c>
      <c r="F30" s="9" t="n">
        <v>1</v>
      </c>
      <c r="G30" s="11" t="n">
        <f aca="false">C30*F30</f>
        <v>0.5</v>
      </c>
      <c r="H30" s="11" t="n">
        <f aca="false">IF($D30="3F",$G30/3,IF($D30=H$9,$G30,0))</f>
        <v>0</v>
      </c>
      <c r="I30" s="11" t="n">
        <f aca="false">IF($D30="3F",$G30/3,IF($D30=I$9,$G30,0))</f>
        <v>0.5</v>
      </c>
      <c r="J30" s="11" t="n">
        <f aca="false">IF($D30="3F",$G30/3,IF($D30=J$9,$G30,0))</f>
        <v>0</v>
      </c>
      <c r="K30" s="12" t="n">
        <f aca="false">IF($D30="3F",$G30*1000/(3*$B$4*$E30),IF($D30=K$9,$G30*1000/($B$4*$E30),0))</f>
        <v>0</v>
      </c>
      <c r="L30" s="12" t="n">
        <f aca="false">IF($D30="3F",$G30*1000/(3*$B$4*$E30),IF($D30=L$9,$G30*1000/($B$4*$E30),0))</f>
        <v>2.2883295194508</v>
      </c>
      <c r="M30" s="12" t="n">
        <f aca="false">IF($D30="3F",$G30*1000/(3*$B$4*$E30),IF($D30=M$9,$G30*1000/($B$4*$E30),0))</f>
        <v>0</v>
      </c>
    </row>
    <row r="31" customFormat="false" ht="15" hidden="false" customHeight="false" outlineLevel="0" collapsed="false">
      <c r="A31" s="3" t="s">
        <v>63</v>
      </c>
      <c r="B31" s="8" t="s">
        <v>64</v>
      </c>
      <c r="C31" s="9" t="n">
        <v>0.3</v>
      </c>
      <c r="D31" s="10" t="s">
        <v>19</v>
      </c>
      <c r="E31" s="9" t="n">
        <v>0.95</v>
      </c>
      <c r="F31" s="9" t="n">
        <v>1</v>
      </c>
      <c r="G31" s="11" t="n">
        <f aca="false">C31*F31</f>
        <v>0.3</v>
      </c>
      <c r="H31" s="11" t="n">
        <f aca="false">IF($D31="3F",$G31/3,IF($D31=H$9,$G31,0))</f>
        <v>0</v>
      </c>
      <c r="I31" s="11" t="n">
        <f aca="false">IF($D31="3F",$G31/3,IF($D31=I$9,$G31,0))</f>
        <v>0</v>
      </c>
      <c r="J31" s="11" t="n">
        <f aca="false">IF($D31="3F",$G31/3,IF($D31=J$9,$G31,0))</f>
        <v>0.3</v>
      </c>
      <c r="K31" s="12" t="n">
        <f aca="false">IF($D31="3F",$G31*1000/(3*$B$4*$E31),IF($D31=K$9,$G31*1000/($B$4*$E31),0))</f>
        <v>0</v>
      </c>
      <c r="L31" s="12" t="n">
        <f aca="false">IF($D31="3F",$G31*1000/(3*$B$4*$E31),IF($D31=L$9,$G31*1000/($B$4*$E31),0))</f>
        <v>0</v>
      </c>
      <c r="M31" s="12" t="n">
        <f aca="false">IF($D31="3F",$G31*1000/(3*$B$4*$E31),IF($D31=M$9,$G31*1000/($B$4*$E31),0))</f>
        <v>1.37299771167048</v>
      </c>
    </row>
    <row r="32" customFormat="false" ht="15" hidden="false" customHeight="false" outlineLevel="0" collapsed="false">
      <c r="A32" s="3" t="s">
        <v>65</v>
      </c>
      <c r="B32" s="8" t="s">
        <v>66</v>
      </c>
      <c r="C32" s="9" t="n">
        <v>0</v>
      </c>
      <c r="D32" s="10" t="s">
        <v>67</v>
      </c>
      <c r="E32" s="9" t="n">
        <v>1</v>
      </c>
      <c r="F32" s="9" t="n">
        <v>1</v>
      </c>
      <c r="G32" s="11" t="n">
        <f aca="false">C32*F32</f>
        <v>0</v>
      </c>
      <c r="H32" s="11" t="n">
        <f aca="false">IF($D32="3F",$G32/3,IF($D32=H$9,$G32,0))</f>
        <v>0</v>
      </c>
      <c r="I32" s="11" t="n">
        <f aca="false">IF($D32="3F",$G32/3,IF($D32=I$9,$G32,0))</f>
        <v>0</v>
      </c>
      <c r="J32" s="11" t="n">
        <f aca="false">IF($D32="3F",$G32/3,IF($D32=J$9,$G32,0))</f>
        <v>0</v>
      </c>
      <c r="K32" s="12" t="n">
        <f aca="false">IF($D32="3F",$G32*1000/(3*$B$4*$E32),IF($D32=K$9,$G32*1000/($B$4*$E32),0))</f>
        <v>0</v>
      </c>
      <c r="L32" s="12" t="n">
        <f aca="false">IF($D32="3F",$G32*1000/(3*$B$4*$E32),IF($D32=L$9,$G32*1000/($B$4*$E32),0))</f>
        <v>0</v>
      </c>
      <c r="M32" s="12" t="n">
        <f aca="false">IF($D32="3F",$G32*1000/(3*$B$4*$E32),IF($D32=M$9,$G32*1000/($B$4*$E32),0))</f>
        <v>0</v>
      </c>
    </row>
    <row r="33" customFormat="false" ht="15" hidden="false" customHeight="false" outlineLevel="0" collapsed="false">
      <c r="A33" s="3" t="s">
        <v>68</v>
      </c>
      <c r="B33" s="8" t="s">
        <v>66</v>
      </c>
      <c r="C33" s="9" t="n">
        <v>0</v>
      </c>
      <c r="D33" s="10" t="s">
        <v>67</v>
      </c>
      <c r="E33" s="9" t="n">
        <v>1</v>
      </c>
      <c r="F33" s="9" t="n">
        <v>1</v>
      </c>
      <c r="G33" s="11" t="n">
        <f aca="false">C33*F33</f>
        <v>0</v>
      </c>
      <c r="H33" s="11" t="n">
        <f aca="false">IF($D33="3F",$G33/3,IF($D33=H$9,$G33,0))</f>
        <v>0</v>
      </c>
      <c r="I33" s="11" t="n">
        <f aca="false">IF($D33="3F",$G33/3,IF($D33=I$9,$G33,0))</f>
        <v>0</v>
      </c>
      <c r="J33" s="11" t="n">
        <f aca="false">IF($D33="3F",$G33/3,IF($D33=J$9,$G33,0))</f>
        <v>0</v>
      </c>
      <c r="K33" s="12" t="n">
        <f aca="false">IF($D33="3F",$G33*1000/(3*$B$4*$E33),IF($D33=K$9,$G33*1000/($B$4*$E33),0))</f>
        <v>0</v>
      </c>
      <c r="L33" s="12" t="n">
        <f aca="false">IF($D33="3F",$G33*1000/(3*$B$4*$E33),IF($D33=L$9,$G33*1000/($B$4*$E33),0))</f>
        <v>0</v>
      </c>
      <c r="M33" s="12" t="n">
        <f aca="false">IF($D33="3F",$G33*1000/(3*$B$4*$E33),IF($D33=M$9,$G33*1000/($B$4*$E33),0))</f>
        <v>0</v>
      </c>
    </row>
    <row r="34" customFormat="false" ht="15" hidden="false" customHeight="false" outlineLevel="0" collapsed="false">
      <c r="A34" s="3" t="s">
        <v>69</v>
      </c>
      <c r="B34" s="8" t="s">
        <v>66</v>
      </c>
      <c r="C34" s="9" t="n">
        <v>0</v>
      </c>
      <c r="D34" s="10" t="s">
        <v>67</v>
      </c>
      <c r="E34" s="9" t="n">
        <v>1</v>
      </c>
      <c r="F34" s="9" t="n">
        <v>1</v>
      </c>
      <c r="G34" s="11" t="n">
        <f aca="false">C34*F34</f>
        <v>0</v>
      </c>
      <c r="H34" s="11" t="n">
        <f aca="false">IF($D34="3F",$G34/3,IF($D34=H$9,$G34,0))</f>
        <v>0</v>
      </c>
      <c r="I34" s="11" t="n">
        <f aca="false">IF($D34="3F",$G34/3,IF($D34=I$9,$G34,0))</f>
        <v>0</v>
      </c>
      <c r="J34" s="11" t="n">
        <f aca="false">IF($D34="3F",$G34/3,IF($D34=J$9,$G34,0))</f>
        <v>0</v>
      </c>
      <c r="K34" s="12" t="n">
        <f aca="false">IF($D34="3F",$G34*1000/(3*$B$4*$E34),IF($D34=K$9,$G34*1000/($B$4*$E34),0))</f>
        <v>0</v>
      </c>
      <c r="L34" s="12" t="n">
        <f aca="false">IF($D34="3F",$G34*1000/(3*$B$4*$E34),IF($D34=L$9,$G34*1000/($B$4*$E34),0))</f>
        <v>0</v>
      </c>
      <c r="M34" s="12" t="n">
        <f aca="false">IF($D34="3F",$G34*1000/(3*$B$4*$E34),IF($D34=M$9,$G34*1000/($B$4*$E34),0))</f>
        <v>0</v>
      </c>
    </row>
    <row r="35" customFormat="false" ht="15" hidden="false" customHeight="false" outlineLevel="0" collapsed="false">
      <c r="A35" s="14" t="s">
        <v>70</v>
      </c>
      <c r="B35" s="15"/>
      <c r="C35" s="16" t="n">
        <f aca="false">SUM(C10:C34)</f>
        <v>58.75</v>
      </c>
      <c r="D35" s="15"/>
      <c r="E35" s="15"/>
      <c r="F35" s="15"/>
      <c r="G35" s="16" t="n">
        <f aca="false">SUM(G10:G34)</f>
        <v>51.97</v>
      </c>
      <c r="H35" s="16" t="n">
        <f aca="false">SUM(H10:H34)</f>
        <v>17.355</v>
      </c>
      <c r="I35" s="16" t="n">
        <f aca="false">SUM(I10:I34)</f>
        <v>17.255</v>
      </c>
      <c r="J35" s="16" t="n">
        <f aca="false">SUM(J10:J34)</f>
        <v>17.36</v>
      </c>
      <c r="K35" s="17" t="n">
        <f aca="false">SUM(K10:K34)</f>
        <v>83.3320620391559</v>
      </c>
      <c r="L35" s="17" t="n">
        <f aca="false">SUM(L10:L34)</f>
        <v>83.230358504958</v>
      </c>
      <c r="M35" s="17" t="n">
        <f aca="false">SUM(M10:M34)</f>
        <v>83.7884566488685</v>
      </c>
    </row>
    <row r="37" customFormat="false" ht="15" hidden="false" customHeight="false" outlineLevel="0" collapsed="false">
      <c r="A37" s="3" t="s">
        <v>71</v>
      </c>
      <c r="B37" s="3"/>
      <c r="C37" s="3"/>
    </row>
    <row r="38" customFormat="false" ht="15" hidden="false" customHeight="false" outlineLevel="0" collapsed="false">
      <c r="A38" s="3" t="s">
        <v>12</v>
      </c>
      <c r="B38" s="18" t="n">
        <f aca="false">C35</f>
        <v>58.75</v>
      </c>
    </row>
    <row r="39" customFormat="false" ht="15" hidden="false" customHeight="false" outlineLevel="0" collapsed="false">
      <c r="A39" s="3" t="s">
        <v>16</v>
      </c>
      <c r="B39" s="18" t="n">
        <f aca="false">G35</f>
        <v>51.97</v>
      </c>
    </row>
    <row r="40" customFormat="false" ht="15" hidden="false" customHeight="false" outlineLevel="0" collapsed="false">
      <c r="A40" s="3" t="s">
        <v>72</v>
      </c>
      <c r="B40" s="18" t="n">
        <f aca="false">(MAX(H35:J35)-MIN(H35:J35))/AVERAGE(H35:J35)*100</f>
        <v>0.606118914758517</v>
      </c>
    </row>
    <row r="41" customFormat="false" ht="15" hidden="false" customHeight="false" outlineLevel="0" collapsed="false">
      <c r="A41" s="3" t="s">
        <v>73</v>
      </c>
      <c r="B41" s="19" t="str">
        <f aca="false">IF(B40&lt;=10,"UYGUN","UYGUN DEĞİL")</f>
        <v>UYGUN</v>
      </c>
    </row>
    <row r="42" customFormat="false" ht="15" hidden="false" customHeight="false" outlineLevel="0" collapsed="false">
      <c r="A42" s="3" t="s">
        <v>74</v>
      </c>
      <c r="B42" s="20" t="n">
        <f aca="false">MAX(K35:M35)</f>
        <v>83.7884566488685</v>
      </c>
    </row>
    <row r="43" customFormat="false" ht="15" hidden="false" customHeight="false" outlineLevel="0" collapsed="false">
      <c r="A43" s="3" t="s">
        <v>75</v>
      </c>
      <c r="B43" s="20" t="n">
        <f aca="false">AVERAGE(K35:M35)</f>
        <v>83.4502923976608</v>
      </c>
    </row>
    <row r="44" customFormat="false" ht="15" hidden="false" customHeight="false" outlineLevel="0" collapsed="false">
      <c r="A44" s="3" t="s">
        <v>76</v>
      </c>
      <c r="B44" s="21" t="n">
        <f aca="false">G35*1000/(SQRT(3)*B5*AVERAGE(K35:M35))</f>
        <v>0.898885211414368</v>
      </c>
    </row>
    <row r="45" customFormat="false" ht="15" hidden="false" customHeight="false" outlineLevel="0" collapsed="false">
      <c r="A45" s="3" t="s">
        <v>77</v>
      </c>
      <c r="B45" s="20" t="n">
        <f aca="false">SQRT(3)*B5*AVERAGE(K35:M35)/1000</f>
        <v>57.8160585356909</v>
      </c>
    </row>
    <row r="46" customFormat="false" ht="15" hidden="false" customHeight="false" outlineLevel="0" collapsed="false">
      <c r="A46" s="3" t="s">
        <v>78</v>
      </c>
      <c r="B46" s="19" t="str">
        <f aca="false">IF(B42&lt;=B6,"UYGUN","UYGUN DEĞİL")</f>
        <v>UYGUN</v>
      </c>
    </row>
    <row r="47" customFormat="false" ht="15" hidden="false" customHeight="false" outlineLevel="0" collapsed="false">
      <c r="A47" s="3" t="s">
        <v>79</v>
      </c>
      <c r="B47" s="20" t="n">
        <f aca="false">B45/250*100</f>
        <v>23.1264234142764</v>
      </c>
    </row>
    <row r="48" customFormat="false" ht="15" hidden="false" customHeight="false" outlineLevel="0" collapsed="false">
      <c r="A48" s="3" t="s">
        <v>80</v>
      </c>
      <c r="B48" s="20" t="n">
        <f aca="false">B42*(1+B7/100)</f>
        <v>104.735570811086</v>
      </c>
    </row>
    <row r="49" customFormat="false" ht="15" hidden="false" customHeight="false" outlineLevel="0" collapsed="false">
      <c r="A49" s="3" t="s">
        <v>81</v>
      </c>
      <c r="B49" s="19" t="str">
        <f aca="false">IF(B48&lt;=B6,"UYGUN","UYGUN DEĞİL")</f>
        <v>UYGUN</v>
      </c>
    </row>
    <row r="50" customFormat="false" ht="15" hidden="false" customHeight="false" outlineLevel="0" collapsed="false">
      <c r="A50" s="3" t="s">
        <v>82</v>
      </c>
      <c r="B50" s="20" t="n">
        <f aca="false">(B6-B42)/B6*100</f>
        <v>47.6322145944572</v>
      </c>
    </row>
    <row r="52" customFormat="false" ht="15" hidden="false" customHeight="false" outlineLevel="0" collapsed="false">
      <c r="A52" s="3" t="s">
        <v>83</v>
      </c>
    </row>
    <row r="53" customFormat="false" ht="35.05" hidden="false" customHeight="false" outlineLevel="0" collapsed="false">
      <c r="A53" s="7" t="s">
        <v>84</v>
      </c>
      <c r="B53" s="7" t="s">
        <v>85</v>
      </c>
      <c r="C53" s="7" t="s">
        <v>11</v>
      </c>
      <c r="D53" s="7" t="s">
        <v>16</v>
      </c>
      <c r="E53" s="7" t="s">
        <v>86</v>
      </c>
      <c r="F53" s="7" t="s">
        <v>87</v>
      </c>
      <c r="G53" s="7"/>
      <c r="H53" s="7" t="s">
        <v>88</v>
      </c>
      <c r="I53" s="7" t="s">
        <v>89</v>
      </c>
      <c r="J53" s="7" t="s">
        <v>90</v>
      </c>
    </row>
    <row r="54" customFormat="false" ht="15" hidden="false" customHeight="false" outlineLevel="0" collapsed="false">
      <c r="A54" s="22" t="n">
        <v>1</v>
      </c>
      <c r="B54" s="3" t="s">
        <v>33</v>
      </c>
      <c r="C54" s="8" t="s">
        <v>91</v>
      </c>
      <c r="D54" s="23" t="n">
        <v>2</v>
      </c>
      <c r="E54" s="24" t="s">
        <v>17</v>
      </c>
      <c r="F54" s="8" t="s">
        <v>92</v>
      </c>
      <c r="G54" s="8"/>
      <c r="H54" s="11" t="n">
        <v>2</v>
      </c>
      <c r="I54" s="11" t="n">
        <v>0</v>
      </c>
      <c r="J54" s="11" t="n">
        <v>0</v>
      </c>
    </row>
    <row r="55" customFormat="false" ht="15" hidden="false" customHeight="false" outlineLevel="0" collapsed="false">
      <c r="A55" s="22" t="n">
        <v>2</v>
      </c>
      <c r="B55" s="3" t="s">
        <v>35</v>
      </c>
      <c r="C55" s="8" t="s">
        <v>93</v>
      </c>
      <c r="D55" s="23" t="n">
        <v>1.5</v>
      </c>
      <c r="E55" s="24" t="s">
        <v>18</v>
      </c>
      <c r="F55" s="8" t="s">
        <v>94</v>
      </c>
      <c r="G55" s="8"/>
      <c r="H55" s="11" t="n">
        <v>2</v>
      </c>
      <c r="I55" s="11" t="n">
        <v>1.5</v>
      </c>
      <c r="J55" s="11" t="n">
        <v>0</v>
      </c>
    </row>
    <row r="56" customFormat="false" ht="15" hidden="false" customHeight="false" outlineLevel="0" collapsed="false">
      <c r="A56" s="22" t="n">
        <v>3</v>
      </c>
      <c r="B56" s="3" t="s">
        <v>37</v>
      </c>
      <c r="C56" s="8" t="s">
        <v>95</v>
      </c>
      <c r="D56" s="23" t="n">
        <v>1.5</v>
      </c>
      <c r="E56" s="24" t="s">
        <v>19</v>
      </c>
      <c r="F56" s="8" t="s">
        <v>94</v>
      </c>
      <c r="G56" s="8"/>
      <c r="H56" s="11" t="n">
        <v>2</v>
      </c>
      <c r="I56" s="11" t="n">
        <v>1.5</v>
      </c>
      <c r="J56" s="11" t="n">
        <v>1.5</v>
      </c>
    </row>
    <row r="57" customFormat="false" ht="15" hidden="false" customHeight="false" outlineLevel="0" collapsed="false">
      <c r="A57" s="22" t="n">
        <v>4</v>
      </c>
      <c r="B57" s="3" t="s">
        <v>39</v>
      </c>
      <c r="C57" s="8" t="s">
        <v>96</v>
      </c>
      <c r="D57" s="23" t="n">
        <v>1.5</v>
      </c>
      <c r="E57" s="24" t="s">
        <v>17</v>
      </c>
      <c r="F57" s="8" t="s">
        <v>94</v>
      </c>
      <c r="G57" s="8"/>
      <c r="H57" s="11" t="n">
        <v>3.5</v>
      </c>
      <c r="I57" s="11" t="n">
        <v>1.5</v>
      </c>
      <c r="J57" s="11" t="n">
        <v>1.5</v>
      </c>
    </row>
    <row r="58" customFormat="false" ht="15" hidden="false" customHeight="false" outlineLevel="0" collapsed="false">
      <c r="A58" s="22" t="n">
        <v>5</v>
      </c>
      <c r="B58" s="3" t="s">
        <v>53</v>
      </c>
      <c r="C58" s="8" t="s">
        <v>54</v>
      </c>
      <c r="D58" s="23" t="n">
        <v>1.4</v>
      </c>
      <c r="E58" s="24" t="s">
        <v>18</v>
      </c>
      <c r="F58" s="8" t="s">
        <v>97</v>
      </c>
      <c r="G58" s="8"/>
      <c r="H58" s="11" t="n">
        <v>3.5</v>
      </c>
      <c r="I58" s="11" t="n">
        <v>2.9</v>
      </c>
      <c r="J58" s="11" t="n">
        <v>1.5</v>
      </c>
    </row>
    <row r="59" customFormat="false" ht="15" hidden="false" customHeight="false" outlineLevel="0" collapsed="false">
      <c r="A59" s="22" t="n">
        <v>6</v>
      </c>
      <c r="B59" s="3" t="s">
        <v>55</v>
      </c>
      <c r="C59" s="8" t="s">
        <v>56</v>
      </c>
      <c r="D59" s="23" t="n">
        <v>0.54</v>
      </c>
      <c r="E59" s="24" t="s">
        <v>19</v>
      </c>
      <c r="F59" s="8" t="s">
        <v>97</v>
      </c>
      <c r="G59" s="8"/>
      <c r="H59" s="11" t="n">
        <v>3.5</v>
      </c>
      <c r="I59" s="11" t="n">
        <v>2.9</v>
      </c>
      <c r="J59" s="11" t="n">
        <v>2.04</v>
      </c>
    </row>
    <row r="60" customFormat="false" ht="15" hidden="false" customHeight="false" outlineLevel="0" collapsed="false">
      <c r="A60" s="22" t="n">
        <v>7</v>
      </c>
      <c r="B60" s="3" t="s">
        <v>57</v>
      </c>
      <c r="C60" s="8" t="s">
        <v>58</v>
      </c>
      <c r="D60" s="23" t="n">
        <v>0.54</v>
      </c>
      <c r="E60" s="24" t="s">
        <v>19</v>
      </c>
      <c r="F60" s="8" t="s">
        <v>97</v>
      </c>
      <c r="G60" s="8"/>
      <c r="H60" s="11" t="n">
        <v>3.5</v>
      </c>
      <c r="I60" s="11" t="n">
        <v>2.9</v>
      </c>
      <c r="J60" s="11" t="n">
        <v>2.58</v>
      </c>
    </row>
    <row r="61" customFormat="false" ht="15" hidden="false" customHeight="false" outlineLevel="0" collapsed="false">
      <c r="A61" s="22" t="n">
        <v>8</v>
      </c>
      <c r="B61" s="3" t="s">
        <v>59</v>
      </c>
      <c r="C61" s="8" t="s">
        <v>60</v>
      </c>
      <c r="D61" s="23" t="n">
        <v>0.54</v>
      </c>
      <c r="E61" s="24" t="s">
        <v>19</v>
      </c>
      <c r="F61" s="8" t="s">
        <v>97</v>
      </c>
      <c r="G61" s="8"/>
      <c r="H61" s="11" t="n">
        <v>3.5</v>
      </c>
      <c r="I61" s="11" t="n">
        <v>2.9</v>
      </c>
      <c r="J61" s="11" t="n">
        <v>3.12</v>
      </c>
    </row>
    <row r="62" customFormat="false" ht="15" hidden="false" customHeight="false" outlineLevel="0" collapsed="false">
      <c r="A62" s="22" t="n">
        <v>9</v>
      </c>
      <c r="B62" s="3" t="s">
        <v>61</v>
      </c>
      <c r="C62" s="8" t="s">
        <v>62</v>
      </c>
      <c r="D62" s="23" t="n">
        <v>0.5</v>
      </c>
      <c r="E62" s="24" t="s">
        <v>18</v>
      </c>
      <c r="F62" s="8" t="s">
        <v>97</v>
      </c>
      <c r="G62" s="8"/>
      <c r="H62" s="11" t="n">
        <v>3.5</v>
      </c>
      <c r="I62" s="11" t="n">
        <v>3.4</v>
      </c>
      <c r="J62" s="11" t="n">
        <v>3.12</v>
      </c>
    </row>
    <row r="63" customFormat="false" ht="15" hidden="false" customHeight="false" outlineLevel="0" collapsed="false">
      <c r="A63" s="22" t="n">
        <v>10</v>
      </c>
      <c r="B63" s="3" t="s">
        <v>47</v>
      </c>
      <c r="C63" s="8" t="s">
        <v>98</v>
      </c>
      <c r="D63" s="23" t="n">
        <v>0.4</v>
      </c>
      <c r="E63" s="24" t="s">
        <v>19</v>
      </c>
      <c r="F63" s="8" t="s">
        <v>94</v>
      </c>
      <c r="G63" s="8"/>
      <c r="H63" s="11" t="n">
        <v>3.5</v>
      </c>
      <c r="I63" s="11" t="n">
        <v>3.4</v>
      </c>
      <c r="J63" s="11" t="n">
        <v>3.52</v>
      </c>
    </row>
    <row r="64" customFormat="false" ht="15" hidden="false" customHeight="false" outlineLevel="0" collapsed="false">
      <c r="A64" s="22" t="n">
        <v>11</v>
      </c>
      <c r="B64" s="3" t="s">
        <v>49</v>
      </c>
      <c r="C64" s="8" t="s">
        <v>99</v>
      </c>
      <c r="D64" s="23" t="n">
        <v>0.3</v>
      </c>
      <c r="E64" s="24" t="s">
        <v>18</v>
      </c>
      <c r="F64" s="8" t="s">
        <v>94</v>
      </c>
      <c r="G64" s="8"/>
      <c r="H64" s="11" t="n">
        <v>3.5</v>
      </c>
      <c r="I64" s="11" t="n">
        <v>3.7</v>
      </c>
      <c r="J64" s="11" t="n">
        <v>3.52</v>
      </c>
    </row>
    <row r="65" customFormat="false" ht="15" hidden="false" customHeight="false" outlineLevel="0" collapsed="false">
      <c r="A65" s="22" t="n">
        <v>12</v>
      </c>
      <c r="B65" s="3" t="s">
        <v>51</v>
      </c>
      <c r="C65" s="8" t="s">
        <v>100</v>
      </c>
      <c r="D65" s="23" t="n">
        <v>0.3</v>
      </c>
      <c r="E65" s="24" t="s">
        <v>17</v>
      </c>
      <c r="F65" s="8" t="s">
        <v>94</v>
      </c>
      <c r="G65" s="8"/>
      <c r="H65" s="11" t="n">
        <v>3.8</v>
      </c>
      <c r="I65" s="11" t="n">
        <v>3.7</v>
      </c>
      <c r="J65" s="11" t="n">
        <v>3.52</v>
      </c>
    </row>
    <row r="66" customFormat="false" ht="15" hidden="false" customHeight="false" outlineLevel="0" collapsed="false">
      <c r="A66" s="22" t="n">
        <v>13</v>
      </c>
      <c r="B66" s="3" t="s">
        <v>63</v>
      </c>
      <c r="C66" s="8" t="s">
        <v>64</v>
      </c>
      <c r="D66" s="23" t="n">
        <v>0.3</v>
      </c>
      <c r="E66" s="24" t="s">
        <v>19</v>
      </c>
      <c r="F66" s="8" t="s">
        <v>97</v>
      </c>
      <c r="G66" s="8"/>
      <c r="H66" s="11" t="n">
        <v>3.8</v>
      </c>
      <c r="I66" s="11" t="n">
        <v>3.7</v>
      </c>
      <c r="J66" s="11" t="n">
        <v>3.82</v>
      </c>
    </row>
    <row r="67" customFormat="false" ht="15" hidden="false" customHeight="false" outlineLevel="0" collapsed="false">
      <c r="A67" s="22" t="n">
        <v>14</v>
      </c>
      <c r="B67" s="3" t="s">
        <v>41</v>
      </c>
      <c r="C67" s="8" t="s">
        <v>101</v>
      </c>
      <c r="D67" s="23" t="n">
        <v>0.255</v>
      </c>
      <c r="E67" s="24" t="s">
        <v>18</v>
      </c>
      <c r="F67" s="8" t="s">
        <v>94</v>
      </c>
      <c r="G67" s="8"/>
      <c r="H67" s="11" t="n">
        <v>3.8</v>
      </c>
      <c r="I67" s="11" t="n">
        <v>3.955</v>
      </c>
      <c r="J67" s="11" t="n">
        <v>3.82</v>
      </c>
    </row>
    <row r="68" customFormat="false" ht="15" hidden="false" customHeight="false" outlineLevel="0" collapsed="false">
      <c r="A68" s="22" t="n">
        <v>15</v>
      </c>
      <c r="B68" s="3" t="s">
        <v>43</v>
      </c>
      <c r="C68" s="8" t="s">
        <v>102</v>
      </c>
      <c r="D68" s="23" t="n">
        <v>0.255</v>
      </c>
      <c r="E68" s="24" t="s">
        <v>17</v>
      </c>
      <c r="F68" s="8" t="s">
        <v>94</v>
      </c>
      <c r="G68" s="8"/>
      <c r="H68" s="11" t="n">
        <v>4.055</v>
      </c>
      <c r="I68" s="11" t="n">
        <v>3.955</v>
      </c>
      <c r="J68" s="11" t="n">
        <v>3.82</v>
      </c>
    </row>
    <row r="69" customFormat="false" ht="15" hidden="false" customHeight="false" outlineLevel="0" collapsed="false">
      <c r="A69" s="22" t="n">
        <v>16</v>
      </c>
      <c r="B69" s="3" t="s">
        <v>45</v>
      </c>
      <c r="C69" s="8" t="s">
        <v>103</v>
      </c>
      <c r="D69" s="23" t="n">
        <v>0.24</v>
      </c>
      <c r="E69" s="24" t="s">
        <v>19</v>
      </c>
      <c r="F69" s="8" t="s">
        <v>94</v>
      </c>
      <c r="G69" s="8"/>
      <c r="H69" s="11" t="n">
        <v>4.055</v>
      </c>
      <c r="I69" s="11" t="n">
        <v>3.955</v>
      </c>
      <c r="J69" s="11" t="n">
        <v>4.06</v>
      </c>
    </row>
    <row r="70" customFormat="false" ht="15" hidden="false" customHeight="false" outlineLevel="0" collapsed="false">
      <c r="A70" s="25" t="s">
        <v>104</v>
      </c>
    </row>
  </sheetData>
  <mergeCells count="19">
    <mergeCell ref="H8:J8"/>
    <mergeCell ref="K8:M8"/>
    <mergeCell ref="A37:C37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4" topLeftCell="D15" activePane="bottomRight" state="frozen"/>
      <selection pane="topLeft" activeCell="A1" activeCellId="0" sqref="A1"/>
      <selection pane="topRight" activeCell="D1" activeCellId="0" sqref="D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28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20" min="19" style="0" width="11"/>
    <col collapsed="false" customWidth="true" hidden="false" outlineLevel="0" max="21" min="21" style="0" width="10"/>
    <col collapsed="false" customWidth="true" hidden="false" outlineLevel="0" max="22" min="22" style="0" width="14"/>
    <col collapsed="false" customWidth="true" hidden="false" outlineLevel="0" max="23" min="23" style="0" width="11"/>
    <col collapsed="false" customWidth="true" hidden="false" outlineLevel="0" max="26" min="24" style="0" width="8"/>
    <col collapsed="false" customWidth="true" hidden="false" outlineLevel="0" max="27" min="27" style="0" width="14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</v>
      </c>
      <c r="W2" s="26" t="s">
        <v>106</v>
      </c>
    </row>
    <row r="3" customFormat="false" ht="15" hidden="false" customHeight="false" outlineLevel="0" collapsed="false">
      <c r="A3" s="3" t="s">
        <v>107</v>
      </c>
      <c r="B3" s="3"/>
      <c r="C3" s="3"/>
      <c r="D3" s="4" t="n">
        <v>44</v>
      </c>
      <c r="W3" s="6" t="s">
        <v>108</v>
      </c>
      <c r="X3" s="6" t="s">
        <v>109</v>
      </c>
      <c r="Y3" s="6" t="s">
        <v>110</v>
      </c>
      <c r="Z3" s="6" t="s">
        <v>111</v>
      </c>
    </row>
    <row r="4" customFormat="false" ht="15" hidden="false" customHeight="false" outlineLevel="0" collapsed="false">
      <c r="A4" s="3" t="s">
        <v>112</v>
      </c>
      <c r="B4" s="3"/>
      <c r="C4" s="3"/>
      <c r="D4" s="4" t="n">
        <v>0.08</v>
      </c>
      <c r="W4" s="12" t="n">
        <v>1.5</v>
      </c>
      <c r="X4" s="4" t="n">
        <v>17.5</v>
      </c>
      <c r="Y4" s="4" t="n">
        <v>15.5</v>
      </c>
      <c r="Z4" s="4" t="n">
        <v>22</v>
      </c>
    </row>
    <row r="5" customFormat="false" ht="15" hidden="false" customHeight="false" outlineLevel="0" collapsed="false">
      <c r="A5" s="3" t="s">
        <v>4</v>
      </c>
      <c r="B5" s="3"/>
      <c r="C5" s="3"/>
      <c r="D5" s="4" t="n">
        <v>400</v>
      </c>
      <c r="W5" s="12" t="n">
        <v>2.5</v>
      </c>
      <c r="X5" s="4" t="n">
        <v>24</v>
      </c>
      <c r="Y5" s="4" t="n">
        <v>21</v>
      </c>
      <c r="Z5" s="4" t="n">
        <v>29</v>
      </c>
    </row>
    <row r="6" customFormat="false" ht="15" hidden="false" customHeight="false" outlineLevel="0" collapsed="false">
      <c r="A6" s="3" t="s">
        <v>2</v>
      </c>
      <c r="B6" s="3"/>
      <c r="C6" s="3"/>
      <c r="D6" s="4" t="n">
        <v>230</v>
      </c>
      <c r="W6" s="12" t="n">
        <v>4</v>
      </c>
      <c r="X6" s="4" t="n">
        <v>32</v>
      </c>
      <c r="Y6" s="4" t="n">
        <v>28</v>
      </c>
      <c r="Z6" s="4" t="n">
        <v>38</v>
      </c>
    </row>
    <row r="7" customFormat="false" ht="15" hidden="false" customHeight="false" outlineLevel="0" collapsed="false">
      <c r="A7" s="3" t="s">
        <v>113</v>
      </c>
      <c r="B7" s="3"/>
      <c r="C7" s="3"/>
      <c r="D7" s="4" t="n">
        <v>0.8</v>
      </c>
      <c r="W7" s="12" t="n">
        <v>6</v>
      </c>
      <c r="X7" s="4" t="n">
        <v>41</v>
      </c>
      <c r="Y7" s="4" t="n">
        <v>36</v>
      </c>
      <c r="Z7" s="4" t="n">
        <v>47</v>
      </c>
    </row>
    <row r="8" customFormat="false" ht="15" hidden="false" customHeight="false" outlineLevel="0" collapsed="false">
      <c r="A8" s="3" t="s">
        <v>114</v>
      </c>
      <c r="B8" s="3"/>
      <c r="C8" s="3"/>
      <c r="D8" s="4" t="n">
        <v>0.85</v>
      </c>
      <c r="W8" s="12" t="n">
        <v>10</v>
      </c>
      <c r="X8" s="4" t="n">
        <v>57</v>
      </c>
      <c r="Y8" s="4" t="n">
        <v>50</v>
      </c>
      <c r="Z8" s="4" t="n">
        <v>63</v>
      </c>
    </row>
    <row r="9" customFormat="false" ht="15" hidden="false" customHeight="false" outlineLevel="0" collapsed="false">
      <c r="A9" s="3" t="s">
        <v>115</v>
      </c>
      <c r="B9" s="3"/>
      <c r="C9" s="3"/>
      <c r="D9" s="4" t="n">
        <v>3</v>
      </c>
      <c r="W9" s="12" t="n">
        <v>16</v>
      </c>
      <c r="X9" s="4" t="n">
        <v>76</v>
      </c>
      <c r="Y9" s="4" t="n">
        <v>68</v>
      </c>
      <c r="Z9" s="4" t="n">
        <v>81</v>
      </c>
    </row>
    <row r="10" customFormat="false" ht="15" hidden="false" customHeight="false" outlineLevel="0" collapsed="false">
      <c r="A10" s="3" t="s">
        <v>116</v>
      </c>
      <c r="B10" s="3"/>
      <c r="C10" s="3"/>
      <c r="D10" s="4" t="n">
        <v>2</v>
      </c>
      <c r="W10" s="12" t="n">
        <v>25</v>
      </c>
      <c r="X10" s="4" t="n">
        <v>101</v>
      </c>
      <c r="Y10" s="4" t="n">
        <v>89</v>
      </c>
      <c r="Z10" s="4" t="n">
        <v>104</v>
      </c>
    </row>
    <row r="11" customFormat="false" ht="15" hidden="false" customHeight="false" outlineLevel="0" collapsed="false">
      <c r="A11" s="3" t="s">
        <v>117</v>
      </c>
      <c r="B11" s="3"/>
      <c r="C11" s="3"/>
      <c r="D11" s="4" t="n">
        <v>1</v>
      </c>
      <c r="W11" s="12" t="n">
        <v>35</v>
      </c>
      <c r="X11" s="4" t="n">
        <v>125</v>
      </c>
      <c r="Y11" s="4" t="n">
        <v>110</v>
      </c>
      <c r="Z11" s="4" t="n">
        <v>125</v>
      </c>
    </row>
    <row r="12" customFormat="false" ht="15" hidden="false" customHeight="false" outlineLevel="0" collapsed="false">
      <c r="W12" s="12" t="n">
        <v>50</v>
      </c>
      <c r="X12" s="4" t="n">
        <v>151</v>
      </c>
      <c r="Y12" s="4" t="n">
        <v>134</v>
      </c>
      <c r="Z12" s="4" t="n">
        <v>148</v>
      </c>
    </row>
    <row r="13" customFormat="false" ht="15" hidden="false" customHeight="false" outlineLevel="0" collapsed="false">
      <c r="W13" s="12" t="n">
        <v>70</v>
      </c>
      <c r="X13" s="4" t="n">
        <v>192</v>
      </c>
      <c r="Y13" s="4" t="n">
        <v>171</v>
      </c>
      <c r="Z13" s="4" t="n">
        <v>183</v>
      </c>
    </row>
    <row r="14" customFormat="false" ht="30" hidden="false" customHeight="true" outlineLevel="0" collapsed="false">
      <c r="A14" s="7" t="s">
        <v>118</v>
      </c>
      <c r="B14" s="7" t="s">
        <v>119</v>
      </c>
      <c r="C14" s="7" t="s">
        <v>11</v>
      </c>
      <c r="D14" s="7" t="s">
        <v>120</v>
      </c>
      <c r="E14" s="7" t="s">
        <v>121</v>
      </c>
      <c r="F14" s="7" t="s">
        <v>122</v>
      </c>
      <c r="G14" s="7" t="s">
        <v>14</v>
      </c>
      <c r="H14" s="7" t="s">
        <v>123</v>
      </c>
      <c r="I14" s="7" t="s">
        <v>124</v>
      </c>
      <c r="J14" s="7" t="s">
        <v>108</v>
      </c>
      <c r="K14" s="7" t="s">
        <v>125</v>
      </c>
      <c r="L14" s="7" t="s">
        <v>126</v>
      </c>
      <c r="M14" s="7" t="s">
        <v>127</v>
      </c>
      <c r="N14" s="7" t="s">
        <v>128</v>
      </c>
      <c r="O14" s="7" t="s">
        <v>129</v>
      </c>
      <c r="P14" s="7" t="s">
        <v>130</v>
      </c>
      <c r="Q14" s="7" t="s">
        <v>131</v>
      </c>
      <c r="R14" s="7" t="s">
        <v>132</v>
      </c>
      <c r="S14" s="7" t="s">
        <v>133</v>
      </c>
      <c r="T14" s="7" t="s">
        <v>134</v>
      </c>
      <c r="U14" s="7" t="s">
        <v>135</v>
      </c>
      <c r="V14" s="7" t="s">
        <v>136</v>
      </c>
      <c r="W14" s="12" t="n">
        <v>95</v>
      </c>
      <c r="X14" s="4" t="n">
        <v>232</v>
      </c>
      <c r="Y14" s="4" t="n">
        <v>207</v>
      </c>
      <c r="Z14" s="4" t="n">
        <v>216</v>
      </c>
      <c r="AA14" s="7" t="s">
        <v>137</v>
      </c>
    </row>
    <row r="15" customFormat="false" ht="15" hidden="false" customHeight="false" outlineLevel="0" collapsed="false">
      <c r="A15" s="3" t="s">
        <v>138</v>
      </c>
      <c r="B15" s="3" t="s">
        <v>139</v>
      </c>
      <c r="C15" s="8" t="s">
        <v>140</v>
      </c>
      <c r="D15" s="8" t="s">
        <v>141</v>
      </c>
      <c r="E15" s="11" t="n">
        <f aca="false">'Yük Dengesi'!B39</f>
        <v>51.97</v>
      </c>
      <c r="F15" s="22" t="s">
        <v>22</v>
      </c>
      <c r="G15" s="23" t="n">
        <f aca="false">'Yük Dengesi'!B44</f>
        <v>0.898885211414368</v>
      </c>
      <c r="H15" s="12" t="n">
        <f aca="false">'Yük Dengesi'!B42</f>
        <v>83.7884566488685</v>
      </c>
      <c r="I15" s="8" t="s">
        <v>142</v>
      </c>
      <c r="J15" s="27" t="n">
        <v>95</v>
      </c>
      <c r="K15" s="27" t="n">
        <v>30</v>
      </c>
      <c r="L15" s="22" t="s">
        <v>111</v>
      </c>
      <c r="M15" s="8" t="s">
        <v>143</v>
      </c>
      <c r="N15" s="4" t="n">
        <v>160</v>
      </c>
      <c r="O15" s="8" t="n">
        <f aca="false">INDEX($X$4:$Z$14,MATCH(J15,$W$4:$W$14,0),MATCH(L15,$X$3:$Z$3,0))</f>
        <v>216</v>
      </c>
      <c r="P15" s="12" t="n">
        <f aca="false">O15*IF(L15="D2-3",$D$8,$D$7)</f>
        <v>183.6</v>
      </c>
      <c r="Q15" s="11" t="n">
        <f aca="false">IF(F15="3F",SQRT(3),2)*H15*K15*AA15*(G15/($D$3*J15)+($D$4/1000)*SQRT(1-G15^2))</f>
        <v>1.08887519301945</v>
      </c>
      <c r="R15" s="11" t="n">
        <f aca="false">Q15/IF(F15="3F",$D$5,$D$6)*100</f>
        <v>0.272218798254863</v>
      </c>
      <c r="S15" s="11" t="n">
        <v>0</v>
      </c>
      <c r="T15" s="11" t="n">
        <f aca="false">R15+S15</f>
        <v>0.272218798254863</v>
      </c>
      <c r="U15" s="11" t="n">
        <f aca="false">$D$11</f>
        <v>1</v>
      </c>
      <c r="V15" s="24" t="str">
        <f aca="false">IF(AND(H15&lt;=N15,N15&lt;=P15,T15&lt;=U15),"UYGUN","UYGUN DEĞİL")</f>
        <v>UYGUN</v>
      </c>
      <c r="AA15" s="9" t="n">
        <v>1</v>
      </c>
    </row>
    <row r="16" customFormat="false" ht="15" hidden="false" customHeight="false" outlineLevel="0" collapsed="false">
      <c r="A16" s="3" t="s">
        <v>144</v>
      </c>
      <c r="B16" s="3" t="s">
        <v>20</v>
      </c>
      <c r="C16" s="8" t="s">
        <v>21</v>
      </c>
      <c r="D16" s="22" t="s">
        <v>145</v>
      </c>
      <c r="E16" s="9" t="n">
        <v>7</v>
      </c>
      <c r="F16" s="10" t="s">
        <v>22</v>
      </c>
      <c r="G16" s="9" t="n">
        <v>0.9</v>
      </c>
      <c r="H16" s="11" t="n">
        <f aca="false">IF(F16="3F",E16*1000/(SQRT(3)*$D$5*G16),E16*1000/($D$6*G16))</f>
        <v>11.2262552342427</v>
      </c>
      <c r="I16" s="8" t="s">
        <v>146</v>
      </c>
      <c r="J16" s="27" t="n">
        <v>4</v>
      </c>
      <c r="K16" s="27" t="n">
        <v>25</v>
      </c>
      <c r="L16" s="10" t="s">
        <v>110</v>
      </c>
      <c r="M16" s="8" t="s">
        <v>147</v>
      </c>
      <c r="N16" s="4" t="n">
        <v>14</v>
      </c>
      <c r="O16" s="8" t="n">
        <f aca="false">INDEX($X$4:$Z$14,MATCH(J16,$W$4:$W$14,0),MATCH(L16,$X$3:$Z$3,0))</f>
        <v>28</v>
      </c>
      <c r="P16" s="12" t="n">
        <f aca="false">O16*IF(L16="D2-3",$D$8,$D$7)</f>
        <v>22.4</v>
      </c>
      <c r="Q16" s="11" t="n">
        <f aca="false">IF(F16="3F",SQRT(3),2)*H16*K16*AA16*(G16/($D$3*J16)+($D$4/1000)*SQRT(1-G16^2))</f>
        <v>2.50274672821478</v>
      </c>
      <c r="R16" s="11" t="n">
        <f aca="false">Q16/IF(F16="3F",$D$5,$D$6)*100</f>
        <v>0.625686682053695</v>
      </c>
      <c r="S16" s="11" t="n">
        <f aca="false">$R$15</f>
        <v>0.272218798254863</v>
      </c>
      <c r="T16" s="11" t="n">
        <f aca="false">R16+S16</f>
        <v>0.897905480308557</v>
      </c>
      <c r="U16" s="11" t="n">
        <f aca="false">IF(D16="aydınlatma",$D$10,$D$9)</f>
        <v>3</v>
      </c>
      <c r="V16" s="24" t="str">
        <f aca="false">IF(AND(H16&lt;=N16,N16&lt;=P16,T16&lt;=U16),"UYGUN","UYGUN DEĞİL")</f>
        <v>UYGUN</v>
      </c>
      <c r="AA16" s="9" t="n">
        <v>1</v>
      </c>
    </row>
    <row r="17" customFormat="false" ht="15" hidden="false" customHeight="false" outlineLevel="0" collapsed="false">
      <c r="A17" s="3" t="s">
        <v>148</v>
      </c>
      <c r="B17" s="3" t="s">
        <v>23</v>
      </c>
      <c r="C17" s="8" t="s">
        <v>24</v>
      </c>
      <c r="D17" s="22" t="s">
        <v>145</v>
      </c>
      <c r="E17" s="9" t="n">
        <v>7</v>
      </c>
      <c r="F17" s="10" t="s">
        <v>22</v>
      </c>
      <c r="G17" s="9" t="n">
        <v>0.9</v>
      </c>
      <c r="H17" s="11" t="n">
        <f aca="false">IF(F17="3F",E17*1000/(SQRT(3)*$D$5*G17),E17*1000/($D$6*G17))</f>
        <v>11.2262552342427</v>
      </c>
      <c r="I17" s="8" t="s">
        <v>146</v>
      </c>
      <c r="J17" s="27" t="n">
        <v>4</v>
      </c>
      <c r="K17" s="27" t="n">
        <v>25</v>
      </c>
      <c r="L17" s="10" t="s">
        <v>110</v>
      </c>
      <c r="M17" s="8" t="s">
        <v>147</v>
      </c>
      <c r="N17" s="4" t="n">
        <v>14</v>
      </c>
      <c r="O17" s="8" t="n">
        <f aca="false">INDEX($X$4:$Z$14,MATCH(J17,$W$4:$W$14,0),MATCH(L17,$X$3:$Z$3,0))</f>
        <v>28</v>
      </c>
      <c r="P17" s="12" t="n">
        <f aca="false">O17*IF(L17="D2-3",$D$8,$D$7)</f>
        <v>22.4</v>
      </c>
      <c r="Q17" s="11" t="n">
        <f aca="false">IF(F17="3F",SQRT(3),2)*H17*K17*AA17*(G17/($D$3*J17)+($D$4/1000)*SQRT(1-G17^2))</f>
        <v>2.50274672821478</v>
      </c>
      <c r="R17" s="11" t="n">
        <f aca="false">Q17/IF(F17="3F",$D$5,$D$6)*100</f>
        <v>0.625686682053695</v>
      </c>
      <c r="S17" s="11" t="n">
        <f aca="false">$R$15</f>
        <v>0.272218798254863</v>
      </c>
      <c r="T17" s="11" t="n">
        <f aca="false">R17+S17</f>
        <v>0.897905480308557</v>
      </c>
      <c r="U17" s="11" t="n">
        <f aca="false">IF(D17="aydınlatma",$D$10,$D$9)</f>
        <v>3</v>
      </c>
      <c r="V17" s="24" t="str">
        <f aca="false">IF(AND(H17&lt;=N17,N17&lt;=P17,T17&lt;=U17),"UYGUN","UYGUN DEĞİL")</f>
        <v>UYGUN</v>
      </c>
      <c r="AA17" s="9" t="n">
        <v>1</v>
      </c>
    </row>
    <row r="18" customFormat="false" ht="15" hidden="false" customHeight="false" outlineLevel="0" collapsed="false">
      <c r="A18" s="3" t="s">
        <v>149</v>
      </c>
      <c r="B18" s="3" t="s">
        <v>25</v>
      </c>
      <c r="C18" s="8" t="s">
        <v>26</v>
      </c>
      <c r="D18" s="22" t="s">
        <v>145</v>
      </c>
      <c r="E18" s="9" t="n">
        <v>7</v>
      </c>
      <c r="F18" s="10" t="s">
        <v>22</v>
      </c>
      <c r="G18" s="9" t="n">
        <v>0.9</v>
      </c>
      <c r="H18" s="11" t="n">
        <f aca="false">IF(F18="3F",E18*1000/(SQRT(3)*$D$5*G18),E18*1000/($D$6*G18))</f>
        <v>11.2262552342427</v>
      </c>
      <c r="I18" s="8" t="s">
        <v>146</v>
      </c>
      <c r="J18" s="27" t="n">
        <v>4</v>
      </c>
      <c r="K18" s="27" t="n">
        <v>25</v>
      </c>
      <c r="L18" s="10" t="s">
        <v>110</v>
      </c>
      <c r="M18" s="8" t="s">
        <v>147</v>
      </c>
      <c r="N18" s="4" t="n">
        <v>14</v>
      </c>
      <c r="O18" s="8" t="n">
        <f aca="false">INDEX($X$4:$Z$14,MATCH(J18,$W$4:$W$14,0),MATCH(L18,$X$3:$Z$3,0))</f>
        <v>28</v>
      </c>
      <c r="P18" s="12" t="n">
        <f aca="false">O18*IF(L18="D2-3",$D$8,$D$7)</f>
        <v>22.4</v>
      </c>
      <c r="Q18" s="11" t="n">
        <f aca="false">IF(F18="3F",SQRT(3),2)*H18*K18*AA18*(G18/($D$3*J18)+($D$4/1000)*SQRT(1-G18^2))</f>
        <v>2.50274672821478</v>
      </c>
      <c r="R18" s="11" t="n">
        <f aca="false">Q18/IF(F18="3F",$D$5,$D$6)*100</f>
        <v>0.625686682053695</v>
      </c>
      <c r="S18" s="11" t="n">
        <f aca="false">$R$15</f>
        <v>0.272218798254863</v>
      </c>
      <c r="T18" s="11" t="n">
        <f aca="false">R18+S18</f>
        <v>0.897905480308557</v>
      </c>
      <c r="U18" s="11" t="n">
        <f aca="false">IF(D18="aydınlatma",$D$10,$D$9)</f>
        <v>3</v>
      </c>
      <c r="V18" s="24" t="str">
        <f aca="false">IF(AND(H18&lt;=N18,N18&lt;=P18,T18&lt;=U18),"UYGUN","UYGUN DEĞİL")</f>
        <v>UYGUN</v>
      </c>
      <c r="AA18" s="9" t="n">
        <v>1</v>
      </c>
    </row>
    <row r="19" customFormat="false" ht="15" hidden="false" customHeight="false" outlineLevel="0" collapsed="false">
      <c r="A19" s="3" t="s">
        <v>150</v>
      </c>
      <c r="B19" s="3" t="s">
        <v>27</v>
      </c>
      <c r="C19" s="8" t="s">
        <v>28</v>
      </c>
      <c r="D19" s="22" t="s">
        <v>145</v>
      </c>
      <c r="E19" s="9" t="n">
        <v>7</v>
      </c>
      <c r="F19" s="10" t="s">
        <v>22</v>
      </c>
      <c r="G19" s="9" t="n">
        <v>0.9</v>
      </c>
      <c r="H19" s="11" t="n">
        <f aca="false">IF(F19="3F",E19*1000/(SQRT(3)*$D$5*G19),E19*1000/($D$6*G19))</f>
        <v>11.2262552342427</v>
      </c>
      <c r="I19" s="8" t="s">
        <v>146</v>
      </c>
      <c r="J19" s="27" t="n">
        <v>4</v>
      </c>
      <c r="K19" s="27" t="n">
        <v>25</v>
      </c>
      <c r="L19" s="10" t="s">
        <v>110</v>
      </c>
      <c r="M19" s="8" t="s">
        <v>147</v>
      </c>
      <c r="N19" s="4" t="n">
        <v>14</v>
      </c>
      <c r="O19" s="8" t="n">
        <f aca="false">INDEX($X$4:$Z$14,MATCH(J19,$W$4:$W$14,0),MATCH(L19,$X$3:$Z$3,0))</f>
        <v>28</v>
      </c>
      <c r="P19" s="12" t="n">
        <f aca="false">O19*IF(L19="D2-3",$D$8,$D$7)</f>
        <v>22.4</v>
      </c>
      <c r="Q19" s="11" t="n">
        <f aca="false">IF(F19="3F",SQRT(3),2)*H19*K19*AA19*(G19/($D$3*J19)+($D$4/1000)*SQRT(1-G19^2))</f>
        <v>2.50274672821478</v>
      </c>
      <c r="R19" s="11" t="n">
        <f aca="false">Q19/IF(F19="3F",$D$5,$D$6)*100</f>
        <v>0.625686682053695</v>
      </c>
      <c r="S19" s="11" t="n">
        <f aca="false">$R$15</f>
        <v>0.272218798254863</v>
      </c>
      <c r="T19" s="11" t="n">
        <f aca="false">R19+S19</f>
        <v>0.897905480308557</v>
      </c>
      <c r="U19" s="11" t="n">
        <f aca="false">IF(D19="aydınlatma",$D$10,$D$9)</f>
        <v>3</v>
      </c>
      <c r="V19" s="24" t="str">
        <f aca="false">IF(AND(H19&lt;=N19,N19&lt;=P19,T19&lt;=U19),"UYGUN","UYGUN DEĞİL")</f>
        <v>UYGUN</v>
      </c>
      <c r="AA19" s="9" t="n">
        <v>1</v>
      </c>
    </row>
    <row r="20" customFormat="false" ht="15" hidden="false" customHeight="false" outlineLevel="0" collapsed="false">
      <c r="A20" s="3" t="s">
        <v>151</v>
      </c>
      <c r="B20" s="3" t="s">
        <v>29</v>
      </c>
      <c r="C20" s="8" t="s">
        <v>30</v>
      </c>
      <c r="D20" s="22" t="s">
        <v>145</v>
      </c>
      <c r="E20" s="9" t="n">
        <v>7</v>
      </c>
      <c r="F20" s="10" t="s">
        <v>22</v>
      </c>
      <c r="G20" s="9" t="n">
        <v>0.9</v>
      </c>
      <c r="H20" s="11" t="n">
        <f aca="false">IF(F20="3F",E20*1000/(SQRT(3)*$D$5*G20),E20*1000/($D$6*G20))</f>
        <v>11.2262552342427</v>
      </c>
      <c r="I20" s="8" t="s">
        <v>146</v>
      </c>
      <c r="J20" s="27" t="n">
        <v>4</v>
      </c>
      <c r="K20" s="27" t="n">
        <v>25</v>
      </c>
      <c r="L20" s="10" t="s">
        <v>110</v>
      </c>
      <c r="M20" s="8" t="s">
        <v>147</v>
      </c>
      <c r="N20" s="4" t="n">
        <v>14</v>
      </c>
      <c r="O20" s="8" t="n">
        <f aca="false">INDEX($X$4:$Z$14,MATCH(J20,$W$4:$W$14,0),MATCH(L20,$X$3:$Z$3,0))</f>
        <v>28</v>
      </c>
      <c r="P20" s="12" t="n">
        <f aca="false">O20*IF(L20="D2-3",$D$8,$D$7)</f>
        <v>22.4</v>
      </c>
      <c r="Q20" s="11" t="n">
        <f aca="false">IF(F20="3F",SQRT(3),2)*H20*K20*AA20*(G20/($D$3*J20)+($D$4/1000)*SQRT(1-G20^2))</f>
        <v>2.50274672821478</v>
      </c>
      <c r="R20" s="11" t="n">
        <f aca="false">Q20/IF(F20="3F",$D$5,$D$6)*100</f>
        <v>0.625686682053695</v>
      </c>
      <c r="S20" s="11" t="n">
        <f aca="false">$R$15</f>
        <v>0.272218798254863</v>
      </c>
      <c r="T20" s="11" t="n">
        <f aca="false">R20+S20</f>
        <v>0.897905480308557</v>
      </c>
      <c r="U20" s="11" t="n">
        <f aca="false">IF(D20="aydınlatma",$D$10,$D$9)</f>
        <v>3</v>
      </c>
      <c r="V20" s="24" t="str">
        <f aca="false">IF(AND(H20&lt;=N20,N20&lt;=P20,T20&lt;=U20),"UYGUN","UYGUN DEĞİL")</f>
        <v>UYGUN</v>
      </c>
      <c r="AA20" s="9" t="n">
        <v>1</v>
      </c>
    </row>
    <row r="21" customFormat="false" ht="15" hidden="false" customHeight="false" outlineLevel="0" collapsed="false">
      <c r="A21" s="3" t="s">
        <v>152</v>
      </c>
      <c r="B21" s="3" t="s">
        <v>31</v>
      </c>
      <c r="C21" s="8" t="s">
        <v>32</v>
      </c>
      <c r="D21" s="22" t="s">
        <v>145</v>
      </c>
      <c r="E21" s="9" t="n">
        <v>7</v>
      </c>
      <c r="F21" s="10" t="s">
        <v>22</v>
      </c>
      <c r="G21" s="9" t="n">
        <v>0.9</v>
      </c>
      <c r="H21" s="11" t="n">
        <f aca="false">IF(F21="3F",E21*1000/(SQRT(3)*$D$5*G21),E21*1000/($D$6*G21))</f>
        <v>11.2262552342427</v>
      </c>
      <c r="I21" s="8" t="s">
        <v>146</v>
      </c>
      <c r="J21" s="27" t="n">
        <v>4</v>
      </c>
      <c r="K21" s="27" t="n">
        <v>25</v>
      </c>
      <c r="L21" s="10" t="s">
        <v>110</v>
      </c>
      <c r="M21" s="8" t="s">
        <v>147</v>
      </c>
      <c r="N21" s="4" t="n">
        <v>14</v>
      </c>
      <c r="O21" s="8" t="n">
        <f aca="false">INDEX($X$4:$Z$14,MATCH(J21,$W$4:$W$14,0),MATCH(L21,$X$3:$Z$3,0))</f>
        <v>28</v>
      </c>
      <c r="P21" s="12" t="n">
        <f aca="false">O21*IF(L21="D2-3",$D$8,$D$7)</f>
        <v>22.4</v>
      </c>
      <c r="Q21" s="11" t="n">
        <f aca="false">IF(F21="3F",SQRT(3),2)*H21*K21*AA21*(G21/($D$3*J21)+($D$4/1000)*SQRT(1-G21^2))</f>
        <v>2.50274672821478</v>
      </c>
      <c r="R21" s="11" t="n">
        <f aca="false">Q21/IF(F21="3F",$D$5,$D$6)*100</f>
        <v>0.625686682053695</v>
      </c>
      <c r="S21" s="11" t="n">
        <f aca="false">$R$15</f>
        <v>0.272218798254863</v>
      </c>
      <c r="T21" s="11" t="n">
        <f aca="false">R21+S21</f>
        <v>0.897905480308557</v>
      </c>
      <c r="U21" s="11" t="n">
        <f aca="false">IF(D21="aydınlatma",$D$10,$D$9)</f>
        <v>3</v>
      </c>
      <c r="V21" s="24" t="str">
        <f aca="false">IF(AND(H21&lt;=N21,N21&lt;=P21,T21&lt;=U21),"UYGUN","UYGUN DEĞİL")</f>
        <v>UYGUN</v>
      </c>
      <c r="AA21" s="9" t="n">
        <v>1</v>
      </c>
    </row>
    <row r="22" customFormat="false" ht="15" hidden="false" customHeight="false" outlineLevel="0" collapsed="false">
      <c r="A22" s="3" t="s">
        <v>153</v>
      </c>
      <c r="B22" s="3" t="s">
        <v>33</v>
      </c>
      <c r="C22" s="13" t="s">
        <v>34</v>
      </c>
      <c r="D22" s="22" t="s">
        <v>154</v>
      </c>
      <c r="E22" s="9" t="n">
        <v>2</v>
      </c>
      <c r="F22" s="10" t="s">
        <v>155</v>
      </c>
      <c r="G22" s="9" t="n">
        <v>0.95</v>
      </c>
      <c r="H22" s="11" t="n">
        <f aca="false">IF(F22="3F",E22*1000/(SQRT(3)*$D$5*G22),E22*1000/($D$6*G22))</f>
        <v>9.1533180778032</v>
      </c>
      <c r="I22" s="8" t="s">
        <v>156</v>
      </c>
      <c r="J22" s="27" t="n">
        <v>16</v>
      </c>
      <c r="K22" s="27" t="n">
        <v>100</v>
      </c>
      <c r="L22" s="10" t="s">
        <v>109</v>
      </c>
      <c r="M22" s="8" t="s">
        <v>157</v>
      </c>
      <c r="N22" s="4" t="n">
        <v>16</v>
      </c>
      <c r="O22" s="8" t="n">
        <f aca="false">INDEX($X$4:$Z$14,MATCH(J22,$W$4:$W$14,0),MATCH(L22,$X$3:$Z$3,0))</f>
        <v>76</v>
      </c>
      <c r="P22" s="12" t="n">
        <f aca="false">O22*IF(L22="D2-3",$D$8,$D$7)</f>
        <v>60.8</v>
      </c>
      <c r="Q22" s="11" t="n">
        <f aca="false">IF(F22="3F",SQRT(3),2)*H22*K22*AA22*(G22/($D$3*J22)+($D$4/1000)*SQRT(1-G22^2))</f>
        <v>2.51608569368497</v>
      </c>
      <c r="R22" s="11" t="n">
        <f aca="false">Q22/IF(F22="3F",$D$5,$D$6)*100</f>
        <v>1.09395030160216</v>
      </c>
      <c r="S22" s="11" t="n">
        <f aca="false">$R$15</f>
        <v>0.272218798254863</v>
      </c>
      <c r="T22" s="11" t="n">
        <f aca="false">R22+S22</f>
        <v>1.36616909985702</v>
      </c>
      <c r="U22" s="11" t="n">
        <f aca="false">IF(D22="aydınlatma",$D$10,$D$9)</f>
        <v>2</v>
      </c>
      <c r="V22" s="24" t="str">
        <f aca="false">IF(AND(H22&lt;=N22,N22&lt;=P22,T22&lt;=U22),"UYGUN","UYGUN DEĞİL")</f>
        <v>UYGUN</v>
      </c>
      <c r="AA22" s="9" t="n">
        <v>1</v>
      </c>
    </row>
    <row r="23" customFormat="false" ht="15" hidden="false" customHeight="false" outlineLevel="0" collapsed="false">
      <c r="A23" s="3" t="s">
        <v>158</v>
      </c>
      <c r="B23" s="3" t="s">
        <v>35</v>
      </c>
      <c r="C23" s="13" t="s">
        <v>36</v>
      </c>
      <c r="D23" s="22" t="s">
        <v>145</v>
      </c>
      <c r="E23" s="9" t="n">
        <v>3</v>
      </c>
      <c r="F23" s="10" t="s">
        <v>155</v>
      </c>
      <c r="G23" s="9" t="n">
        <v>0.9</v>
      </c>
      <c r="H23" s="11" t="n">
        <f aca="false">IF(F23="3F",E23*1000/(SQRT(3)*$D$5*G23),E23*1000/($D$6*G23))</f>
        <v>14.4927536231884</v>
      </c>
      <c r="I23" s="8" t="s">
        <v>156</v>
      </c>
      <c r="J23" s="27" t="n">
        <v>16</v>
      </c>
      <c r="K23" s="27" t="n">
        <v>266.666666666667</v>
      </c>
      <c r="L23" s="10" t="s">
        <v>109</v>
      </c>
      <c r="M23" s="8" t="s">
        <v>157</v>
      </c>
      <c r="N23" s="4" t="n">
        <v>16</v>
      </c>
      <c r="O23" s="8" t="n">
        <f aca="false">INDEX($X$4:$Z$14,MATCH(J23,$W$4:$W$14,0),MATCH(L23,$X$3:$Z$3,0))</f>
        <v>76</v>
      </c>
      <c r="P23" s="12" t="n">
        <f aca="false">O23*IF(L23="D2-3",$D$8,$D$7)</f>
        <v>60.8</v>
      </c>
      <c r="Q23" s="11" t="n">
        <f aca="false">IF(F23="3F",SQRT(3),2)*H23*K23*AA23*(G23/($D$3*J23)+($D$4/1000)*SQRT(1-G23^2))</f>
        <v>5.07547935249243</v>
      </c>
      <c r="R23" s="11" t="n">
        <f aca="false">Q23/IF(F23="3F",$D$5,$D$6)*100</f>
        <v>2.20673015325758</v>
      </c>
      <c r="S23" s="11" t="n">
        <f aca="false">$R$15</f>
        <v>0.272218798254863</v>
      </c>
      <c r="T23" s="11" t="n">
        <f aca="false">R23+S23</f>
        <v>2.47894895151244</v>
      </c>
      <c r="U23" s="11" t="n">
        <f aca="false">IF(D23="aydınlatma",$D$10,$D$9)</f>
        <v>3</v>
      </c>
      <c r="V23" s="24" t="str">
        <f aca="false">IF(AND(H23&lt;=N23,N23&lt;=P23,T23&lt;=U23),"UYGUN","UYGUN DEĞİL")</f>
        <v>UYGUN</v>
      </c>
      <c r="AA23" s="9" t="n">
        <v>0.5</v>
      </c>
    </row>
    <row r="24" customFormat="false" ht="15" hidden="false" customHeight="false" outlineLevel="0" collapsed="false">
      <c r="A24" s="3" t="s">
        <v>159</v>
      </c>
      <c r="B24" s="3" t="s">
        <v>37</v>
      </c>
      <c r="C24" s="13" t="s">
        <v>38</v>
      </c>
      <c r="D24" s="22" t="s">
        <v>145</v>
      </c>
      <c r="E24" s="9" t="n">
        <v>3</v>
      </c>
      <c r="F24" s="10" t="s">
        <v>155</v>
      </c>
      <c r="G24" s="9" t="n">
        <v>0.9</v>
      </c>
      <c r="H24" s="11" t="n">
        <f aca="false">IF(F24="3F",E24*1000/(SQRT(3)*$D$5*G24),E24*1000/($D$6*G24))</f>
        <v>14.4927536231884</v>
      </c>
      <c r="I24" s="8" t="s">
        <v>156</v>
      </c>
      <c r="J24" s="27" t="n">
        <v>16</v>
      </c>
      <c r="K24" s="27" t="n">
        <v>266.666666666667</v>
      </c>
      <c r="L24" s="10" t="s">
        <v>109</v>
      </c>
      <c r="M24" s="8" t="s">
        <v>157</v>
      </c>
      <c r="N24" s="4" t="n">
        <v>16</v>
      </c>
      <c r="O24" s="8" t="n">
        <f aca="false">INDEX($X$4:$Z$14,MATCH(J24,$W$4:$W$14,0),MATCH(L24,$X$3:$Z$3,0))</f>
        <v>76</v>
      </c>
      <c r="P24" s="12" t="n">
        <f aca="false">O24*IF(L24="D2-3",$D$8,$D$7)</f>
        <v>60.8</v>
      </c>
      <c r="Q24" s="11" t="n">
        <f aca="false">IF(F24="3F",SQRT(3),2)*H24*K24*AA24*(G24/($D$3*J24)+($D$4/1000)*SQRT(1-G24^2))</f>
        <v>5.07547935249243</v>
      </c>
      <c r="R24" s="11" t="n">
        <f aca="false">Q24/IF(F24="3F",$D$5,$D$6)*100</f>
        <v>2.20673015325758</v>
      </c>
      <c r="S24" s="11" t="n">
        <f aca="false">$R$15</f>
        <v>0.272218798254863</v>
      </c>
      <c r="T24" s="11" t="n">
        <f aca="false">R24+S24</f>
        <v>2.47894895151244</v>
      </c>
      <c r="U24" s="11" t="n">
        <f aca="false">IF(D24="aydınlatma",$D$10,$D$9)</f>
        <v>3</v>
      </c>
      <c r="V24" s="24" t="str">
        <f aca="false">IF(AND(H24&lt;=N24,N24&lt;=P24,T24&lt;=U24),"UYGUN","UYGUN DEĞİL")</f>
        <v>UYGUN</v>
      </c>
      <c r="AA24" s="9" t="n">
        <v>0.5</v>
      </c>
    </row>
    <row r="25" customFormat="false" ht="15" hidden="false" customHeight="false" outlineLevel="0" collapsed="false">
      <c r="A25" s="3" t="s">
        <v>160</v>
      </c>
      <c r="B25" s="3" t="s">
        <v>39</v>
      </c>
      <c r="C25" s="13" t="s">
        <v>40</v>
      </c>
      <c r="D25" s="22" t="s">
        <v>145</v>
      </c>
      <c r="E25" s="9" t="n">
        <v>3</v>
      </c>
      <c r="F25" s="10" t="s">
        <v>155</v>
      </c>
      <c r="G25" s="9" t="n">
        <v>0.9</v>
      </c>
      <c r="H25" s="11" t="n">
        <f aca="false">IF(F25="3F",E25*1000/(SQRT(3)*$D$5*G25),E25*1000/($D$6*G25))</f>
        <v>14.4927536231884</v>
      </c>
      <c r="I25" s="8" t="s">
        <v>156</v>
      </c>
      <c r="J25" s="27" t="n">
        <v>16</v>
      </c>
      <c r="K25" s="27" t="n">
        <v>266.666666666667</v>
      </c>
      <c r="L25" s="10" t="s">
        <v>109</v>
      </c>
      <c r="M25" s="8" t="s">
        <v>157</v>
      </c>
      <c r="N25" s="4" t="n">
        <v>16</v>
      </c>
      <c r="O25" s="8" t="n">
        <f aca="false">INDEX($X$4:$Z$14,MATCH(J25,$W$4:$W$14,0),MATCH(L25,$X$3:$Z$3,0))</f>
        <v>76</v>
      </c>
      <c r="P25" s="12" t="n">
        <f aca="false">O25*IF(L25="D2-3",$D$8,$D$7)</f>
        <v>60.8</v>
      </c>
      <c r="Q25" s="11" t="n">
        <f aca="false">IF(F25="3F",SQRT(3),2)*H25*K25*AA25*(G25/($D$3*J25)+($D$4/1000)*SQRT(1-G25^2))</f>
        <v>5.07547935249243</v>
      </c>
      <c r="R25" s="11" t="n">
        <f aca="false">Q25/IF(F25="3F",$D$5,$D$6)*100</f>
        <v>2.20673015325758</v>
      </c>
      <c r="S25" s="11" t="n">
        <f aca="false">$R$15</f>
        <v>0.272218798254863</v>
      </c>
      <c r="T25" s="11" t="n">
        <f aca="false">R25+S25</f>
        <v>2.47894895151244</v>
      </c>
      <c r="U25" s="11" t="n">
        <f aca="false">IF(D25="aydınlatma",$D$10,$D$9)</f>
        <v>3</v>
      </c>
      <c r="V25" s="24" t="str">
        <f aca="false">IF(AND(H25&lt;=N25,N25&lt;=P25,T25&lt;=U25),"UYGUN","UYGUN DEĞİL")</f>
        <v>UYGUN</v>
      </c>
      <c r="AA25" s="9" t="n">
        <v>0.5</v>
      </c>
    </row>
    <row r="26" customFormat="false" ht="15" hidden="false" customHeight="false" outlineLevel="0" collapsed="false">
      <c r="A26" s="3" t="s">
        <v>161</v>
      </c>
      <c r="B26" s="3" t="s">
        <v>41</v>
      </c>
      <c r="C26" s="13" t="s">
        <v>42</v>
      </c>
      <c r="D26" s="22" t="s">
        <v>154</v>
      </c>
      <c r="E26" s="9" t="n">
        <v>0.255</v>
      </c>
      <c r="F26" s="10" t="s">
        <v>155</v>
      </c>
      <c r="G26" s="9" t="n">
        <v>0.9</v>
      </c>
      <c r="H26" s="11" t="n">
        <f aca="false">IF(F26="3F",E26*1000/(SQRT(3)*$D$5*G26),E26*1000/($D$6*G26))</f>
        <v>1.23188405797101</v>
      </c>
      <c r="I26" s="8" t="s">
        <v>162</v>
      </c>
      <c r="J26" s="27" t="n">
        <v>2.5</v>
      </c>
      <c r="K26" s="27" t="n">
        <v>266.666666666667</v>
      </c>
      <c r="L26" s="10" t="s">
        <v>109</v>
      </c>
      <c r="M26" s="8" t="s">
        <v>163</v>
      </c>
      <c r="N26" s="4" t="n">
        <v>10</v>
      </c>
      <c r="O26" s="8" t="n">
        <f aca="false">INDEX($X$4:$Z$14,MATCH(J26,$W$4:$W$14,0),MATCH(L26,$X$3:$Z$3,0))</f>
        <v>24</v>
      </c>
      <c r="P26" s="12" t="n">
        <f aca="false">O26*IF(L26="D2-3",$D$8,$D$7)</f>
        <v>19.2</v>
      </c>
      <c r="Q26" s="11" t="n">
        <f aca="false">IF(F26="3F",SQRT(3),2)*H26*K26*AA26*(G26/($D$3*J26)+($D$4/1000)*SQRT(1-G26^2))</f>
        <v>2.69920230622668</v>
      </c>
      <c r="R26" s="11" t="n">
        <f aca="false">Q26/IF(F26="3F",$D$5,$D$6)*100</f>
        <v>1.17356622009856</v>
      </c>
      <c r="S26" s="11" t="n">
        <f aca="false">$R$15</f>
        <v>0.272218798254863</v>
      </c>
      <c r="T26" s="11" t="n">
        <f aca="false">R26+S26</f>
        <v>1.44578501835342</v>
      </c>
      <c r="U26" s="11" t="n">
        <f aca="false">IF(D26="aydınlatma",$D$10,$D$9)</f>
        <v>2</v>
      </c>
      <c r="V26" s="24" t="str">
        <f aca="false">IF(AND(H26&lt;=N26,N26&lt;=P26,T26&lt;=U26),"UYGUN","UYGUN DEĞİL")</f>
        <v>UYGUN</v>
      </c>
      <c r="AA26" s="9" t="n">
        <v>0.5</v>
      </c>
    </row>
    <row r="27" customFormat="false" ht="15" hidden="false" customHeight="false" outlineLevel="0" collapsed="false">
      <c r="A27" s="3" t="s">
        <v>164</v>
      </c>
      <c r="B27" s="3" t="s">
        <v>43</v>
      </c>
      <c r="C27" s="13" t="s">
        <v>44</v>
      </c>
      <c r="D27" s="22" t="s">
        <v>154</v>
      </c>
      <c r="E27" s="9" t="n">
        <v>0.255</v>
      </c>
      <c r="F27" s="10" t="s">
        <v>155</v>
      </c>
      <c r="G27" s="9" t="n">
        <v>0.9</v>
      </c>
      <c r="H27" s="11" t="n">
        <f aca="false">IF(F27="3F",E27*1000/(SQRT(3)*$D$5*G27),E27*1000/($D$6*G27))</f>
        <v>1.23188405797101</v>
      </c>
      <c r="I27" s="8" t="s">
        <v>162</v>
      </c>
      <c r="J27" s="27" t="n">
        <v>2.5</v>
      </c>
      <c r="K27" s="27" t="n">
        <v>266.666666666667</v>
      </c>
      <c r="L27" s="10" t="s">
        <v>109</v>
      </c>
      <c r="M27" s="8" t="s">
        <v>163</v>
      </c>
      <c r="N27" s="4" t="n">
        <v>10</v>
      </c>
      <c r="O27" s="8" t="n">
        <f aca="false">INDEX($X$4:$Z$14,MATCH(J27,$W$4:$W$14,0),MATCH(L27,$X$3:$Z$3,0))</f>
        <v>24</v>
      </c>
      <c r="P27" s="12" t="n">
        <f aca="false">O27*IF(L27="D2-3",$D$8,$D$7)</f>
        <v>19.2</v>
      </c>
      <c r="Q27" s="11" t="n">
        <f aca="false">IF(F27="3F",SQRT(3),2)*H27*K27*AA27*(G27/($D$3*J27)+($D$4/1000)*SQRT(1-G27^2))</f>
        <v>2.69920230622668</v>
      </c>
      <c r="R27" s="11" t="n">
        <f aca="false">Q27/IF(F27="3F",$D$5,$D$6)*100</f>
        <v>1.17356622009856</v>
      </c>
      <c r="S27" s="11" t="n">
        <f aca="false">$R$15</f>
        <v>0.272218798254863</v>
      </c>
      <c r="T27" s="11" t="n">
        <f aca="false">R27+S27</f>
        <v>1.44578501835342</v>
      </c>
      <c r="U27" s="11" t="n">
        <f aca="false">IF(D27="aydınlatma",$D$10,$D$9)</f>
        <v>2</v>
      </c>
      <c r="V27" s="24" t="str">
        <f aca="false">IF(AND(H27&lt;=N27,N27&lt;=P27,T27&lt;=U27),"UYGUN","UYGUN DEĞİL")</f>
        <v>UYGUN</v>
      </c>
      <c r="AA27" s="9" t="n">
        <v>0.5</v>
      </c>
    </row>
    <row r="28" customFormat="false" ht="15" hidden="false" customHeight="false" outlineLevel="0" collapsed="false">
      <c r="A28" s="3" t="s">
        <v>165</v>
      </c>
      <c r="B28" s="3" t="s">
        <v>45</v>
      </c>
      <c r="C28" s="13" t="s">
        <v>46</v>
      </c>
      <c r="D28" s="22" t="s">
        <v>154</v>
      </c>
      <c r="E28" s="9" t="n">
        <v>0.24</v>
      </c>
      <c r="F28" s="10" t="s">
        <v>155</v>
      </c>
      <c r="G28" s="9" t="n">
        <v>0.9</v>
      </c>
      <c r="H28" s="11" t="n">
        <f aca="false">IF(F28="3F",E28*1000/(SQRT(3)*$D$5*G28),E28*1000/($D$6*G28))</f>
        <v>1.15942028985507</v>
      </c>
      <c r="I28" s="8" t="s">
        <v>162</v>
      </c>
      <c r="J28" s="27" t="n">
        <v>2.5</v>
      </c>
      <c r="K28" s="27" t="n">
        <v>266.666666666667</v>
      </c>
      <c r="L28" s="10" t="s">
        <v>109</v>
      </c>
      <c r="M28" s="8" t="s">
        <v>163</v>
      </c>
      <c r="N28" s="4" t="n">
        <v>10</v>
      </c>
      <c r="O28" s="8" t="n">
        <f aca="false">INDEX($X$4:$Z$14,MATCH(J28,$W$4:$W$14,0),MATCH(L28,$X$3:$Z$3,0))</f>
        <v>24</v>
      </c>
      <c r="P28" s="12" t="n">
        <f aca="false">O28*IF(L28="D2-3",$D$8,$D$7)</f>
        <v>19.2</v>
      </c>
      <c r="Q28" s="11" t="n">
        <f aca="false">IF(F28="3F",SQRT(3),2)*H28*K28*AA28*(G28/($D$3*J28)+($D$4/1000)*SQRT(1-G28^2))</f>
        <v>2.54042569997805</v>
      </c>
      <c r="R28" s="11" t="n">
        <f aca="false">Q28/IF(F28="3F",$D$5,$D$6)*100</f>
        <v>1.10453291303394</v>
      </c>
      <c r="S28" s="11" t="n">
        <f aca="false">$R$15</f>
        <v>0.272218798254863</v>
      </c>
      <c r="T28" s="11" t="n">
        <f aca="false">R28+S28</f>
        <v>1.3767517112888</v>
      </c>
      <c r="U28" s="11" t="n">
        <f aca="false">IF(D28="aydınlatma",$D$10,$D$9)</f>
        <v>2</v>
      </c>
      <c r="V28" s="24" t="str">
        <f aca="false">IF(AND(H28&lt;=N28,N28&lt;=P28,T28&lt;=U28),"UYGUN","UYGUN DEĞİL")</f>
        <v>UYGUN</v>
      </c>
      <c r="AA28" s="9" t="n">
        <v>0.5</v>
      </c>
    </row>
    <row r="29" customFormat="false" ht="15" hidden="false" customHeight="false" outlineLevel="0" collapsed="false">
      <c r="A29" s="3" t="s">
        <v>166</v>
      </c>
      <c r="B29" s="3" t="s">
        <v>47</v>
      </c>
      <c r="C29" s="13" t="s">
        <v>48</v>
      </c>
      <c r="D29" s="22" t="s">
        <v>145</v>
      </c>
      <c r="E29" s="9" t="n">
        <v>0.4</v>
      </c>
      <c r="F29" s="10" t="s">
        <v>155</v>
      </c>
      <c r="G29" s="9" t="n">
        <v>0.9</v>
      </c>
      <c r="H29" s="11" t="n">
        <f aca="false">IF(F29="3F",E29*1000/(SQRT(3)*$D$5*G29),E29*1000/($D$6*G29))</f>
        <v>1.93236714975845</v>
      </c>
      <c r="I29" s="8" t="s">
        <v>162</v>
      </c>
      <c r="J29" s="27" t="n">
        <v>2.5</v>
      </c>
      <c r="K29" s="27" t="n">
        <v>66.6666666666667</v>
      </c>
      <c r="L29" s="10" t="s">
        <v>109</v>
      </c>
      <c r="M29" s="8" t="s">
        <v>163</v>
      </c>
      <c r="N29" s="4" t="n">
        <v>10</v>
      </c>
      <c r="O29" s="8" t="n">
        <f aca="false">INDEX($X$4:$Z$14,MATCH(J29,$W$4:$W$14,0),MATCH(L29,$X$3:$Z$3,0))</f>
        <v>24</v>
      </c>
      <c r="P29" s="12" t="n">
        <f aca="false">O29*IF(L29="D2-3",$D$8,$D$7)</f>
        <v>19.2</v>
      </c>
      <c r="Q29" s="11" t="n">
        <f aca="false">IF(F29="3F",SQRT(3),2)*H29*K29*AA29*(G29/($D$3*J29)+($D$4/1000)*SQRT(1-G29^2))</f>
        <v>1.05851070832419</v>
      </c>
      <c r="R29" s="11" t="n">
        <f aca="false">Q29/IF(F29="3F",$D$5,$D$6)*100</f>
        <v>0.460222047097473</v>
      </c>
      <c r="S29" s="11" t="n">
        <f aca="false">$R$15</f>
        <v>0.272218798254863</v>
      </c>
      <c r="T29" s="11" t="n">
        <f aca="false">R29+S29</f>
        <v>0.732440845352336</v>
      </c>
      <c r="U29" s="11" t="n">
        <f aca="false">IF(D29="aydınlatma",$D$10,$D$9)</f>
        <v>3</v>
      </c>
      <c r="V29" s="24" t="str">
        <f aca="false">IF(AND(H29&lt;=N29,N29&lt;=P29,T29&lt;=U29),"UYGUN","UYGUN DEĞİL")</f>
        <v>UYGUN</v>
      </c>
      <c r="AA29" s="9" t="n">
        <v>0.5</v>
      </c>
    </row>
    <row r="30" customFormat="false" ht="15" hidden="false" customHeight="false" outlineLevel="0" collapsed="false">
      <c r="A30" s="3" t="s">
        <v>167</v>
      </c>
      <c r="B30" s="3" t="s">
        <v>49</v>
      </c>
      <c r="C30" s="13" t="s">
        <v>50</v>
      </c>
      <c r="D30" s="22" t="s">
        <v>145</v>
      </c>
      <c r="E30" s="9" t="n">
        <v>0.3</v>
      </c>
      <c r="F30" s="10" t="s">
        <v>155</v>
      </c>
      <c r="G30" s="9" t="n">
        <v>0.9</v>
      </c>
      <c r="H30" s="11" t="n">
        <f aca="false">IF(F30="3F",E30*1000/(SQRT(3)*$D$5*G30),E30*1000/($D$6*G30))</f>
        <v>1.44927536231884</v>
      </c>
      <c r="I30" s="8" t="s">
        <v>162</v>
      </c>
      <c r="J30" s="27" t="n">
        <v>2.5</v>
      </c>
      <c r="K30" s="27" t="n">
        <v>66.6666666666667</v>
      </c>
      <c r="L30" s="10" t="s">
        <v>109</v>
      </c>
      <c r="M30" s="8" t="s">
        <v>163</v>
      </c>
      <c r="N30" s="4" t="n">
        <v>10</v>
      </c>
      <c r="O30" s="8" t="n">
        <f aca="false">INDEX($X$4:$Z$14,MATCH(J30,$W$4:$W$14,0),MATCH(L30,$X$3:$Z$3,0))</f>
        <v>24</v>
      </c>
      <c r="P30" s="12" t="n">
        <f aca="false">O30*IF(L30="D2-3",$D$8,$D$7)</f>
        <v>19.2</v>
      </c>
      <c r="Q30" s="11" t="n">
        <f aca="false">IF(F30="3F",SQRT(3),2)*H30*K30*AA30*(G30/($D$3*J30)+($D$4/1000)*SQRT(1-G30^2))</f>
        <v>0.793883031243141</v>
      </c>
      <c r="R30" s="11" t="n">
        <f aca="false">Q30/IF(F30="3F",$D$5,$D$6)*100</f>
        <v>0.345166535323105</v>
      </c>
      <c r="S30" s="11" t="n">
        <f aca="false">$R$15</f>
        <v>0.272218798254863</v>
      </c>
      <c r="T30" s="11" t="n">
        <f aca="false">R30+S30</f>
        <v>0.617385333577967</v>
      </c>
      <c r="U30" s="11" t="n">
        <f aca="false">IF(D30="aydınlatma",$D$10,$D$9)</f>
        <v>3</v>
      </c>
      <c r="V30" s="24" t="str">
        <f aca="false">IF(AND(H30&lt;=N30,N30&lt;=P30,T30&lt;=U30),"UYGUN","UYGUN DEĞİL")</f>
        <v>UYGUN</v>
      </c>
      <c r="AA30" s="9" t="n">
        <v>0.5</v>
      </c>
    </row>
    <row r="31" customFormat="false" ht="15" hidden="false" customHeight="false" outlineLevel="0" collapsed="false">
      <c r="A31" s="3" t="s">
        <v>168</v>
      </c>
      <c r="B31" s="3" t="s">
        <v>51</v>
      </c>
      <c r="C31" s="13" t="s">
        <v>52</v>
      </c>
      <c r="D31" s="22" t="s">
        <v>145</v>
      </c>
      <c r="E31" s="9" t="n">
        <v>0.3</v>
      </c>
      <c r="F31" s="10" t="s">
        <v>155</v>
      </c>
      <c r="G31" s="9" t="n">
        <v>0.9</v>
      </c>
      <c r="H31" s="11" t="n">
        <f aca="false">IF(F31="3F",E31*1000/(SQRT(3)*$D$5*G31),E31*1000/($D$6*G31))</f>
        <v>1.44927536231884</v>
      </c>
      <c r="I31" s="8" t="s">
        <v>162</v>
      </c>
      <c r="J31" s="27" t="n">
        <v>2.5</v>
      </c>
      <c r="K31" s="27" t="n">
        <v>66.6666666666667</v>
      </c>
      <c r="L31" s="10" t="s">
        <v>109</v>
      </c>
      <c r="M31" s="8" t="s">
        <v>163</v>
      </c>
      <c r="N31" s="4" t="n">
        <v>10</v>
      </c>
      <c r="O31" s="8" t="n">
        <f aca="false">INDEX($X$4:$Z$14,MATCH(J31,$W$4:$W$14,0),MATCH(L31,$X$3:$Z$3,0))</f>
        <v>24</v>
      </c>
      <c r="P31" s="12" t="n">
        <f aca="false">O31*IF(L31="D2-3",$D$8,$D$7)</f>
        <v>19.2</v>
      </c>
      <c r="Q31" s="11" t="n">
        <f aca="false">IF(F31="3F",SQRT(3),2)*H31*K31*AA31*(G31/($D$3*J31)+($D$4/1000)*SQRT(1-G31^2))</f>
        <v>0.793883031243141</v>
      </c>
      <c r="R31" s="11" t="n">
        <f aca="false">Q31/IF(F31="3F",$D$5,$D$6)*100</f>
        <v>0.345166535323105</v>
      </c>
      <c r="S31" s="11" t="n">
        <f aca="false">$R$15</f>
        <v>0.272218798254863</v>
      </c>
      <c r="T31" s="11" t="n">
        <f aca="false">R31+S31</f>
        <v>0.617385333577967</v>
      </c>
      <c r="U31" s="11" t="n">
        <f aca="false">IF(D31="aydınlatma",$D$10,$D$9)</f>
        <v>3</v>
      </c>
      <c r="V31" s="24" t="str">
        <f aca="false">IF(AND(H31&lt;=N31,N31&lt;=P31,T31&lt;=U31),"UYGUN","UYGUN DEĞİL")</f>
        <v>UYGUN</v>
      </c>
      <c r="AA31" s="9" t="n">
        <v>0.5</v>
      </c>
    </row>
    <row r="32" customFormat="false" ht="15" hidden="false" customHeight="false" outlineLevel="0" collapsed="false">
      <c r="A32" s="3" t="s">
        <v>169</v>
      </c>
      <c r="B32" s="3" t="s">
        <v>53</v>
      </c>
      <c r="C32" s="8" t="s">
        <v>54</v>
      </c>
      <c r="D32" s="22" t="s">
        <v>145</v>
      </c>
      <c r="E32" s="9" t="n">
        <v>1.4</v>
      </c>
      <c r="F32" s="10" t="s">
        <v>155</v>
      </c>
      <c r="G32" s="9" t="n">
        <v>0.9</v>
      </c>
      <c r="H32" s="11" t="n">
        <f aca="false">IF(F32="3F",E32*1000/(SQRT(3)*$D$5*G32),E32*1000/($D$6*G32))</f>
        <v>6.76328502415459</v>
      </c>
      <c r="I32" s="8" t="s">
        <v>162</v>
      </c>
      <c r="J32" s="27" t="n">
        <v>2.5</v>
      </c>
      <c r="K32" s="27" t="n">
        <v>28</v>
      </c>
      <c r="L32" s="10" t="s">
        <v>109</v>
      </c>
      <c r="M32" s="8" t="s">
        <v>163</v>
      </c>
      <c r="N32" s="4" t="n">
        <v>10</v>
      </c>
      <c r="O32" s="8" t="n">
        <f aca="false">INDEX($X$4:$Z$14,MATCH(J32,$W$4:$W$14,0),MATCH(L32,$X$3:$Z$3,0))</f>
        <v>24</v>
      </c>
      <c r="P32" s="12" t="n">
        <f aca="false">O32*IF(L32="D2-3",$D$8,$D$7)</f>
        <v>19.2</v>
      </c>
      <c r="Q32" s="11" t="n">
        <f aca="false">IF(F32="3F",SQRT(3),2)*H32*K32*AA32*(G32/($D$3*J32)+($D$4/1000)*SQRT(1-G32^2))</f>
        <v>3.11202148247311</v>
      </c>
      <c r="R32" s="11" t="n">
        <f aca="false">Q32/IF(F32="3F",$D$5,$D$6)*100</f>
        <v>1.35305281846657</v>
      </c>
      <c r="S32" s="11" t="n">
        <f aca="false">$R$15</f>
        <v>0.272218798254863</v>
      </c>
      <c r="T32" s="11" t="n">
        <f aca="false">R32+S32</f>
        <v>1.62527161672143</v>
      </c>
      <c r="U32" s="11" t="n">
        <f aca="false">IF(D32="aydınlatma",$D$10,$D$9)</f>
        <v>3</v>
      </c>
      <c r="V32" s="24" t="str">
        <f aca="false">IF(AND(H32&lt;=N32,N32&lt;=P32,T32&lt;=U32),"UYGUN","UYGUN DEĞİL")</f>
        <v>UYGUN</v>
      </c>
      <c r="AA32" s="9" t="n">
        <v>1</v>
      </c>
    </row>
    <row r="33" customFormat="false" ht="15" hidden="false" customHeight="false" outlineLevel="0" collapsed="false">
      <c r="A33" s="3" t="s">
        <v>170</v>
      </c>
      <c r="B33" s="3" t="s">
        <v>55</v>
      </c>
      <c r="C33" s="8" t="s">
        <v>56</v>
      </c>
      <c r="D33" s="22" t="s">
        <v>145</v>
      </c>
      <c r="E33" s="9" t="n">
        <v>0.6</v>
      </c>
      <c r="F33" s="10" t="s">
        <v>155</v>
      </c>
      <c r="G33" s="9" t="n">
        <v>0.9</v>
      </c>
      <c r="H33" s="11" t="n">
        <f aca="false">IF(F33="3F",E33*1000/(SQRT(3)*$D$5*G33),E33*1000/($D$6*G33))</f>
        <v>2.89855072463768</v>
      </c>
      <c r="I33" s="8" t="s">
        <v>162</v>
      </c>
      <c r="J33" s="27" t="n">
        <v>2.5</v>
      </c>
      <c r="K33" s="27" t="n">
        <v>100</v>
      </c>
      <c r="L33" s="10" t="s">
        <v>109</v>
      </c>
      <c r="M33" s="8" t="s">
        <v>163</v>
      </c>
      <c r="N33" s="4" t="n">
        <v>10</v>
      </c>
      <c r="O33" s="8" t="n">
        <f aca="false">INDEX($X$4:$Z$14,MATCH(J33,$W$4:$W$14,0),MATCH(L33,$X$3:$Z$3,0))</f>
        <v>24</v>
      </c>
      <c r="P33" s="12" t="n">
        <f aca="false">O33*IF(L33="D2-3",$D$8,$D$7)</f>
        <v>19.2</v>
      </c>
      <c r="Q33" s="11" t="n">
        <f aca="false">IF(F33="3F",SQRT(3),2)*H33*K33*AA33*(G33/($D$3*J33)+($D$4/1000)*SQRT(1-G33^2))</f>
        <v>4.76329818745885</v>
      </c>
      <c r="R33" s="11" t="n">
        <f aca="false">Q33/IF(F33="3F",$D$5,$D$6)*100</f>
        <v>2.07099921193863</v>
      </c>
      <c r="S33" s="11" t="n">
        <f aca="false">$R$15</f>
        <v>0.272218798254863</v>
      </c>
      <c r="T33" s="11" t="n">
        <f aca="false">R33+S33</f>
        <v>2.34321801019349</v>
      </c>
      <c r="U33" s="11" t="n">
        <f aca="false">IF(D33="aydınlatma",$D$10,$D$9)</f>
        <v>3</v>
      </c>
      <c r="V33" s="24" t="str">
        <f aca="false">IF(AND(H33&lt;=N33,N33&lt;=P33,T33&lt;=U33),"UYGUN","UYGUN DEĞİL")</f>
        <v>UYGUN</v>
      </c>
      <c r="AA33" s="9" t="n">
        <v>1</v>
      </c>
    </row>
    <row r="34" customFormat="false" ht="15" hidden="false" customHeight="false" outlineLevel="0" collapsed="false">
      <c r="A34" s="3" t="s">
        <v>171</v>
      </c>
      <c r="B34" s="3" t="s">
        <v>57</v>
      </c>
      <c r="C34" s="8" t="s">
        <v>58</v>
      </c>
      <c r="D34" s="22" t="s">
        <v>145</v>
      </c>
      <c r="E34" s="9" t="n">
        <v>0.6</v>
      </c>
      <c r="F34" s="10" t="s">
        <v>155</v>
      </c>
      <c r="G34" s="9" t="n">
        <v>0.9</v>
      </c>
      <c r="H34" s="11" t="n">
        <f aca="false">IF(F34="3F",E34*1000/(SQRT(3)*$D$5*G34),E34*1000/($D$6*G34))</f>
        <v>2.89855072463768</v>
      </c>
      <c r="I34" s="8" t="s">
        <v>162</v>
      </c>
      <c r="J34" s="27" t="n">
        <v>2.5</v>
      </c>
      <c r="K34" s="27" t="n">
        <v>100</v>
      </c>
      <c r="L34" s="10" t="s">
        <v>109</v>
      </c>
      <c r="M34" s="8" t="s">
        <v>163</v>
      </c>
      <c r="N34" s="4" t="n">
        <v>10</v>
      </c>
      <c r="O34" s="8" t="n">
        <f aca="false">INDEX($X$4:$Z$14,MATCH(J34,$W$4:$W$14,0),MATCH(L34,$X$3:$Z$3,0))</f>
        <v>24</v>
      </c>
      <c r="P34" s="12" t="n">
        <f aca="false">O34*IF(L34="D2-3",$D$8,$D$7)</f>
        <v>19.2</v>
      </c>
      <c r="Q34" s="11" t="n">
        <f aca="false">IF(F34="3F",SQRT(3),2)*H34*K34*AA34*(G34/($D$3*J34)+($D$4/1000)*SQRT(1-G34^2))</f>
        <v>4.76329818745885</v>
      </c>
      <c r="R34" s="11" t="n">
        <f aca="false">Q34/IF(F34="3F",$D$5,$D$6)*100</f>
        <v>2.07099921193863</v>
      </c>
      <c r="S34" s="11" t="n">
        <f aca="false">$R$15</f>
        <v>0.272218798254863</v>
      </c>
      <c r="T34" s="11" t="n">
        <f aca="false">R34+S34</f>
        <v>2.34321801019349</v>
      </c>
      <c r="U34" s="11" t="n">
        <f aca="false">IF(D34="aydınlatma",$D$10,$D$9)</f>
        <v>3</v>
      </c>
      <c r="V34" s="24" t="str">
        <f aca="false">IF(AND(H34&lt;=N34,N34&lt;=P34,T34&lt;=U34),"UYGUN","UYGUN DEĞİL")</f>
        <v>UYGUN</v>
      </c>
      <c r="AA34" s="9" t="n">
        <v>1</v>
      </c>
    </row>
    <row r="35" customFormat="false" ht="15" hidden="false" customHeight="false" outlineLevel="0" collapsed="false">
      <c r="A35" s="3" t="s">
        <v>172</v>
      </c>
      <c r="B35" s="3" t="s">
        <v>59</v>
      </c>
      <c r="C35" s="8" t="s">
        <v>60</v>
      </c>
      <c r="D35" s="22" t="s">
        <v>145</v>
      </c>
      <c r="E35" s="9" t="n">
        <v>0.6</v>
      </c>
      <c r="F35" s="10" t="s">
        <v>155</v>
      </c>
      <c r="G35" s="9" t="n">
        <v>0.9</v>
      </c>
      <c r="H35" s="11" t="n">
        <f aca="false">IF(F35="3F",E35*1000/(SQRT(3)*$D$5*G35),E35*1000/($D$6*G35))</f>
        <v>2.89855072463768</v>
      </c>
      <c r="I35" s="8" t="s">
        <v>162</v>
      </c>
      <c r="J35" s="27" t="n">
        <v>2.5</v>
      </c>
      <c r="K35" s="27" t="n">
        <v>100</v>
      </c>
      <c r="L35" s="10" t="s">
        <v>109</v>
      </c>
      <c r="M35" s="8" t="s">
        <v>163</v>
      </c>
      <c r="N35" s="4" t="n">
        <v>10</v>
      </c>
      <c r="O35" s="8" t="n">
        <f aca="false">INDEX($X$4:$Z$14,MATCH(J35,$W$4:$W$14,0),MATCH(L35,$X$3:$Z$3,0))</f>
        <v>24</v>
      </c>
      <c r="P35" s="12" t="n">
        <f aca="false">O35*IF(L35="D2-3",$D$8,$D$7)</f>
        <v>19.2</v>
      </c>
      <c r="Q35" s="11" t="n">
        <f aca="false">IF(F35="3F",SQRT(3),2)*H35*K35*AA35*(G35/($D$3*J35)+($D$4/1000)*SQRT(1-G35^2))</f>
        <v>4.76329818745885</v>
      </c>
      <c r="R35" s="11" t="n">
        <f aca="false">Q35/IF(F35="3F",$D$5,$D$6)*100</f>
        <v>2.07099921193863</v>
      </c>
      <c r="S35" s="11" t="n">
        <f aca="false">$R$15</f>
        <v>0.272218798254863</v>
      </c>
      <c r="T35" s="11" t="n">
        <f aca="false">R35+S35</f>
        <v>2.34321801019349</v>
      </c>
      <c r="U35" s="11" t="n">
        <f aca="false">IF(D35="aydınlatma",$D$10,$D$9)</f>
        <v>3</v>
      </c>
      <c r="V35" s="24" t="str">
        <f aca="false">IF(AND(H35&lt;=N35,N35&lt;=P35,T35&lt;=U35),"UYGUN","UYGUN DEĞİL")</f>
        <v>UYGUN</v>
      </c>
      <c r="AA35" s="9" t="n">
        <v>1</v>
      </c>
    </row>
    <row r="36" customFormat="false" ht="15" hidden="false" customHeight="false" outlineLevel="0" collapsed="false">
      <c r="A36" s="3" t="s">
        <v>173</v>
      </c>
      <c r="B36" s="3" t="s">
        <v>61</v>
      </c>
      <c r="C36" s="8" t="s">
        <v>62</v>
      </c>
      <c r="D36" s="22" t="s">
        <v>154</v>
      </c>
      <c r="E36" s="9" t="n">
        <v>0.5</v>
      </c>
      <c r="F36" s="10" t="s">
        <v>155</v>
      </c>
      <c r="G36" s="9" t="n">
        <v>0.95</v>
      </c>
      <c r="H36" s="11" t="n">
        <f aca="false">IF(F36="3F",E36*1000/(SQRT(3)*$D$5*G36),E36*1000/($D$6*G36))</f>
        <v>2.2883295194508</v>
      </c>
      <c r="I36" s="8" t="s">
        <v>174</v>
      </c>
      <c r="J36" s="27" t="n">
        <v>2.5</v>
      </c>
      <c r="K36" s="27" t="n">
        <v>35</v>
      </c>
      <c r="L36" s="10" t="s">
        <v>109</v>
      </c>
      <c r="M36" s="8" t="s">
        <v>163</v>
      </c>
      <c r="N36" s="4" t="n">
        <v>10</v>
      </c>
      <c r="O36" s="8" t="n">
        <f aca="false">INDEX($X$4:$Z$14,MATCH(J36,$W$4:$W$14,0),MATCH(L36,$X$3:$Z$3,0))</f>
        <v>24</v>
      </c>
      <c r="P36" s="12" t="n">
        <f aca="false">O36*IF(L36="D2-3",$D$8,$D$7)</f>
        <v>19.2</v>
      </c>
      <c r="Q36" s="11" t="n">
        <f aca="false">IF(F36="3F",SQRT(3),2)*H36*K36*AA36*(G36/($D$3*J36)+($D$4/1000)*SQRT(1-G36^2))</f>
        <v>1.38740058120139</v>
      </c>
      <c r="R36" s="11" t="n">
        <f aca="false">Q36/IF(F36="3F",$D$5,$D$6)*100</f>
        <v>0.603217644000603</v>
      </c>
      <c r="S36" s="11" t="n">
        <f aca="false">$R$15</f>
        <v>0.272218798254863</v>
      </c>
      <c r="T36" s="11" t="n">
        <f aca="false">R36+S36</f>
        <v>0.875436442255466</v>
      </c>
      <c r="U36" s="11" t="n">
        <f aca="false">IF(D36="aydınlatma",$D$10,$D$9)</f>
        <v>2</v>
      </c>
      <c r="V36" s="24" t="str">
        <f aca="false">IF(AND(H36&lt;=N36,N36&lt;=P36,T36&lt;=U36),"UYGUN","UYGUN DEĞİL")</f>
        <v>UYGUN</v>
      </c>
      <c r="AA36" s="9" t="n">
        <v>1</v>
      </c>
    </row>
    <row r="37" customFormat="false" ht="15" hidden="false" customHeight="false" outlineLevel="0" collapsed="false">
      <c r="A37" s="3" t="s">
        <v>175</v>
      </c>
      <c r="B37" s="3" t="s">
        <v>63</v>
      </c>
      <c r="C37" s="8" t="s">
        <v>64</v>
      </c>
      <c r="D37" s="22" t="s">
        <v>145</v>
      </c>
      <c r="E37" s="9" t="n">
        <v>0.3</v>
      </c>
      <c r="F37" s="10" t="s">
        <v>155</v>
      </c>
      <c r="G37" s="9" t="n">
        <v>0.95</v>
      </c>
      <c r="H37" s="11" t="n">
        <f aca="false">IF(F37="3F",E37*1000/(SQRT(3)*$D$5*G37),E37*1000/($D$6*G37))</f>
        <v>1.37299771167048</v>
      </c>
      <c r="I37" s="8" t="s">
        <v>174</v>
      </c>
      <c r="J37" s="27" t="n">
        <v>2.5</v>
      </c>
      <c r="K37" s="27" t="n">
        <v>35</v>
      </c>
      <c r="L37" s="10" t="s">
        <v>109</v>
      </c>
      <c r="M37" s="8" t="s">
        <v>163</v>
      </c>
      <c r="N37" s="4" t="n">
        <v>10</v>
      </c>
      <c r="O37" s="8" t="n">
        <f aca="false">INDEX($X$4:$Z$14,MATCH(J37,$W$4:$W$14,0),MATCH(L37,$X$3:$Z$3,0))</f>
        <v>24</v>
      </c>
      <c r="P37" s="12" t="n">
        <f aca="false">O37*IF(L37="D2-3",$D$8,$D$7)</f>
        <v>19.2</v>
      </c>
      <c r="Q37" s="11" t="n">
        <f aca="false">IF(F37="3F",SQRT(3),2)*H37*K37*AA37*(G37/($D$3*J37)+($D$4/1000)*SQRT(1-G37^2))</f>
        <v>0.832440348720832</v>
      </c>
      <c r="R37" s="11" t="n">
        <f aca="false">Q37/IF(F37="3F",$D$5,$D$6)*100</f>
        <v>0.361930586400362</v>
      </c>
      <c r="S37" s="11" t="n">
        <f aca="false">$R$15</f>
        <v>0.272218798254863</v>
      </c>
      <c r="T37" s="11" t="n">
        <f aca="false">R37+S37</f>
        <v>0.634149384655224</v>
      </c>
      <c r="U37" s="11" t="n">
        <f aca="false">IF(D37="aydınlatma",$D$10,$D$9)</f>
        <v>3</v>
      </c>
      <c r="V37" s="24" t="str">
        <f aca="false">IF(AND(H37&lt;=N37,N37&lt;=P37,T37&lt;=U37),"UYGUN","UYGUN DEĞİL")</f>
        <v>UYGUN</v>
      </c>
      <c r="AA37" s="9" t="n">
        <v>1</v>
      </c>
    </row>
    <row r="39" customFormat="false" ht="15" hidden="false" customHeight="false" outlineLevel="0" collapsed="false">
      <c r="A39" s="25" t="s">
        <v>176</v>
      </c>
    </row>
    <row r="40" customFormat="false" ht="15" hidden="false" customHeight="false" outlineLevel="0" collapsed="false">
      <c r="A40" s="25" t="s">
        <v>177</v>
      </c>
    </row>
  </sheetData>
  <mergeCells count="9">
    <mergeCell ref="A3:C3"/>
    <mergeCell ref="A4:C4"/>
    <mergeCell ref="A5:C5"/>
    <mergeCell ref="A6:C6"/>
    <mergeCell ref="A7:C7"/>
    <mergeCell ref="A8:C8"/>
    <mergeCell ref="A9:C9"/>
    <mergeCell ref="A10:C10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8"/>
    <col collapsed="false" customWidth="true" hidden="false" outlineLevel="0" max="4" min="4" style="0" width="70"/>
    <col collapsed="false" customWidth="true" hidden="false" outlineLevel="0" max="5" min="5" style="0" width="9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6" t="s">
        <v>10</v>
      </c>
      <c r="B4" s="6" t="s">
        <v>179</v>
      </c>
      <c r="C4" s="6" t="s">
        <v>180</v>
      </c>
      <c r="D4" s="6" t="s">
        <v>181</v>
      </c>
      <c r="E4" s="6" t="s">
        <v>182</v>
      </c>
      <c r="F4" s="6" t="s">
        <v>183</v>
      </c>
    </row>
    <row r="5" customFormat="false" ht="15" hidden="false" customHeight="false" outlineLevel="0" collapsed="false">
      <c r="A5" s="14" t="s">
        <v>184</v>
      </c>
      <c r="B5" s="14"/>
      <c r="C5" s="14"/>
      <c r="D5" s="14"/>
      <c r="E5" s="14"/>
      <c r="F5" s="14"/>
    </row>
    <row r="6" customFormat="false" ht="23.85" hidden="false" customHeight="false" outlineLevel="0" collapsed="false">
      <c r="A6" s="28" t="s">
        <v>185</v>
      </c>
      <c r="B6" s="13" t="s">
        <v>186</v>
      </c>
      <c r="C6" s="22" t="n">
        <v>1</v>
      </c>
      <c r="D6" s="13" t="s">
        <v>187</v>
      </c>
      <c r="E6" s="22" t="s">
        <v>188</v>
      </c>
      <c r="F6" s="22" t="s">
        <v>189</v>
      </c>
    </row>
    <row r="7" customFormat="false" ht="15" hidden="false" customHeight="false" outlineLevel="0" collapsed="false">
      <c r="A7" s="28" t="s">
        <v>139</v>
      </c>
      <c r="B7" s="13" t="s">
        <v>190</v>
      </c>
      <c r="C7" s="22" t="n">
        <v>1</v>
      </c>
      <c r="D7" s="13" t="s">
        <v>191</v>
      </c>
      <c r="E7" s="22" t="s">
        <v>188</v>
      </c>
      <c r="F7" s="22" t="s">
        <v>192</v>
      </c>
    </row>
    <row r="8" customFormat="false" ht="15" hidden="false" customHeight="false" outlineLevel="0" collapsed="false">
      <c r="A8" s="28" t="s">
        <v>193</v>
      </c>
      <c r="B8" s="13" t="s">
        <v>194</v>
      </c>
      <c r="C8" s="22" t="n">
        <v>1</v>
      </c>
      <c r="D8" s="13" t="s">
        <v>195</v>
      </c>
      <c r="E8" s="22" t="s">
        <v>188</v>
      </c>
      <c r="F8" s="22" t="s">
        <v>192</v>
      </c>
    </row>
    <row r="9" customFormat="false" ht="15" hidden="false" customHeight="false" outlineLevel="0" collapsed="false">
      <c r="A9" s="28" t="s">
        <v>196</v>
      </c>
      <c r="B9" s="13" t="s">
        <v>197</v>
      </c>
      <c r="C9" s="22" t="n">
        <v>1</v>
      </c>
      <c r="D9" s="13" t="s">
        <v>198</v>
      </c>
      <c r="E9" s="22" t="s">
        <v>188</v>
      </c>
      <c r="F9" s="22" t="s">
        <v>192</v>
      </c>
    </row>
    <row r="10" customFormat="false" ht="15" hidden="false" customHeight="false" outlineLevel="0" collapsed="false">
      <c r="A10" s="28" t="s">
        <v>199</v>
      </c>
      <c r="B10" s="13" t="s">
        <v>200</v>
      </c>
      <c r="C10" s="22" t="n">
        <v>1</v>
      </c>
      <c r="D10" s="13" t="s">
        <v>201</v>
      </c>
      <c r="E10" s="22" t="s">
        <v>188</v>
      </c>
      <c r="F10" s="22" t="s">
        <v>192</v>
      </c>
    </row>
    <row r="11" customFormat="false" ht="15" hidden="false" customHeight="false" outlineLevel="0" collapsed="false">
      <c r="A11" s="28" t="s">
        <v>202</v>
      </c>
      <c r="B11" s="13" t="s">
        <v>203</v>
      </c>
      <c r="C11" s="22" t="n">
        <v>1</v>
      </c>
      <c r="D11" s="13" t="s">
        <v>204</v>
      </c>
      <c r="E11" s="22" t="s">
        <v>188</v>
      </c>
      <c r="F11" s="22" t="s">
        <v>192</v>
      </c>
    </row>
    <row r="12" customFormat="false" ht="15" hidden="false" customHeight="false" outlineLevel="0" collapsed="false">
      <c r="A12" s="28" t="s">
        <v>205</v>
      </c>
      <c r="B12" s="13" t="s">
        <v>206</v>
      </c>
      <c r="C12" s="22" t="n">
        <v>1</v>
      </c>
      <c r="D12" s="13" t="s">
        <v>207</v>
      </c>
      <c r="E12" s="22" t="s">
        <v>188</v>
      </c>
      <c r="F12" s="22" t="s">
        <v>192</v>
      </c>
    </row>
    <row r="13" customFormat="false" ht="15" hidden="false" customHeight="false" outlineLevel="0" collapsed="false">
      <c r="A13" s="28" t="s">
        <v>208</v>
      </c>
      <c r="B13" s="13" t="s">
        <v>209</v>
      </c>
      <c r="C13" s="22" t="n">
        <v>1</v>
      </c>
      <c r="D13" s="13" t="s">
        <v>210</v>
      </c>
      <c r="E13" s="22" t="s">
        <v>188</v>
      </c>
      <c r="F13" s="22" t="s">
        <v>192</v>
      </c>
    </row>
    <row r="14" customFormat="false" ht="15" hidden="false" customHeight="false" outlineLevel="0" collapsed="false">
      <c r="A14" s="28" t="s">
        <v>211</v>
      </c>
      <c r="B14" s="13" t="s">
        <v>212</v>
      </c>
      <c r="C14" s="22" t="n">
        <v>1</v>
      </c>
      <c r="D14" s="13" t="s">
        <v>213</v>
      </c>
      <c r="E14" s="22" t="s">
        <v>188</v>
      </c>
      <c r="F14" s="22" t="s">
        <v>192</v>
      </c>
    </row>
    <row r="15" customFormat="false" ht="15" hidden="false" customHeight="false" outlineLevel="0" collapsed="false">
      <c r="A15" s="28" t="s">
        <v>214</v>
      </c>
      <c r="B15" s="13" t="s">
        <v>215</v>
      </c>
      <c r="C15" s="22" t="n">
        <v>3</v>
      </c>
      <c r="D15" s="13" t="s">
        <v>216</v>
      </c>
      <c r="E15" s="22" t="s">
        <v>188</v>
      </c>
      <c r="F15" s="22" t="s">
        <v>192</v>
      </c>
    </row>
    <row r="16" customFormat="false" ht="15" hidden="false" customHeight="false" outlineLevel="0" collapsed="false">
      <c r="A16" s="28" t="s">
        <v>217</v>
      </c>
      <c r="B16" s="13" t="s">
        <v>218</v>
      </c>
      <c r="C16" s="22" t="n">
        <v>1</v>
      </c>
      <c r="D16" s="13" t="s">
        <v>219</v>
      </c>
      <c r="E16" s="22" t="s">
        <v>188</v>
      </c>
      <c r="F16" s="22" t="s">
        <v>192</v>
      </c>
    </row>
    <row r="17" customFormat="false" ht="15" hidden="false" customHeight="false" outlineLevel="0" collapsed="false">
      <c r="A17" s="28" t="s">
        <v>220</v>
      </c>
      <c r="B17" s="13" t="s">
        <v>221</v>
      </c>
      <c r="C17" s="22" t="n">
        <v>1</v>
      </c>
      <c r="D17" s="13" t="s">
        <v>222</v>
      </c>
      <c r="E17" s="22" t="s">
        <v>188</v>
      </c>
      <c r="F17" s="22" t="s">
        <v>192</v>
      </c>
    </row>
    <row r="18" customFormat="false" ht="15" hidden="false" customHeight="false" outlineLevel="0" collapsed="false">
      <c r="A18" s="28" t="s">
        <v>223</v>
      </c>
      <c r="B18" s="13" t="s">
        <v>224</v>
      </c>
      <c r="C18" s="22" t="n">
        <v>1</v>
      </c>
      <c r="D18" s="13" t="s">
        <v>222</v>
      </c>
      <c r="E18" s="22" t="s">
        <v>188</v>
      </c>
      <c r="F18" s="22" t="s">
        <v>192</v>
      </c>
    </row>
    <row r="19" customFormat="false" ht="15" hidden="false" customHeight="false" outlineLevel="0" collapsed="false">
      <c r="A19" s="28" t="s">
        <v>225</v>
      </c>
      <c r="B19" s="13" t="s">
        <v>226</v>
      </c>
      <c r="C19" s="22" t="n">
        <v>1</v>
      </c>
      <c r="D19" s="13" t="s">
        <v>227</v>
      </c>
      <c r="E19" s="22" t="s">
        <v>188</v>
      </c>
      <c r="F19" s="22" t="s">
        <v>192</v>
      </c>
    </row>
    <row r="20" customFormat="false" ht="15" hidden="false" customHeight="false" outlineLevel="0" collapsed="false">
      <c r="A20" s="28" t="s">
        <v>228</v>
      </c>
      <c r="B20" s="13" t="s">
        <v>229</v>
      </c>
      <c r="C20" s="22" t="n">
        <v>1</v>
      </c>
      <c r="D20" s="13" t="s">
        <v>230</v>
      </c>
      <c r="E20" s="22" t="s">
        <v>188</v>
      </c>
      <c r="F20" s="22" t="s">
        <v>192</v>
      </c>
    </row>
    <row r="21" customFormat="false" ht="15" hidden="false" customHeight="false" outlineLevel="0" collapsed="false">
      <c r="A21" s="28" t="s">
        <v>231</v>
      </c>
      <c r="B21" s="13" t="s">
        <v>232</v>
      </c>
      <c r="C21" s="22" t="n">
        <v>3</v>
      </c>
      <c r="D21" s="13" t="s">
        <v>233</v>
      </c>
      <c r="E21" s="22" t="s">
        <v>188</v>
      </c>
      <c r="F21" s="22" t="s">
        <v>192</v>
      </c>
    </row>
    <row r="22" customFormat="false" ht="15" hidden="false" customHeight="false" outlineLevel="0" collapsed="false">
      <c r="A22" s="28" t="s">
        <v>234</v>
      </c>
      <c r="B22" s="13" t="s">
        <v>235</v>
      </c>
      <c r="C22" s="22" t="n">
        <v>1</v>
      </c>
      <c r="D22" s="13" t="s">
        <v>236</v>
      </c>
      <c r="E22" s="22" t="s">
        <v>188</v>
      </c>
      <c r="F22" s="22" t="s">
        <v>192</v>
      </c>
    </row>
    <row r="23" customFormat="false" ht="15" hidden="false" customHeight="false" outlineLevel="0" collapsed="false">
      <c r="A23" s="28" t="s">
        <v>237</v>
      </c>
      <c r="B23" s="13" t="s">
        <v>238</v>
      </c>
      <c r="C23" s="22" t="n">
        <v>1</v>
      </c>
      <c r="D23" s="13" t="s">
        <v>239</v>
      </c>
      <c r="E23" s="22" t="s">
        <v>188</v>
      </c>
      <c r="F23" s="22" t="s">
        <v>192</v>
      </c>
    </row>
    <row r="24" customFormat="false" ht="15" hidden="false" customHeight="false" outlineLevel="0" collapsed="false">
      <c r="A24" s="28" t="s">
        <v>240</v>
      </c>
      <c r="B24" s="13" t="s">
        <v>241</v>
      </c>
      <c r="C24" s="22" t="n">
        <v>1</v>
      </c>
      <c r="D24" s="13" t="s">
        <v>242</v>
      </c>
      <c r="E24" s="22" t="s">
        <v>188</v>
      </c>
      <c r="F24" s="22" t="s">
        <v>192</v>
      </c>
    </row>
    <row r="25" customFormat="false" ht="15" hidden="false" customHeight="false" outlineLevel="0" collapsed="false">
      <c r="A25" s="28" t="s">
        <v>243</v>
      </c>
      <c r="B25" s="13" t="s">
        <v>244</v>
      </c>
      <c r="C25" s="22" t="n">
        <v>1</v>
      </c>
      <c r="D25" s="13" t="s">
        <v>245</v>
      </c>
      <c r="E25" s="22" t="s">
        <v>188</v>
      </c>
      <c r="F25" s="22" t="s">
        <v>192</v>
      </c>
    </row>
    <row r="26" customFormat="false" ht="15" hidden="false" customHeight="false" outlineLevel="0" collapsed="false">
      <c r="A26" s="28" t="s">
        <v>246</v>
      </c>
      <c r="B26" s="13" t="s">
        <v>247</v>
      </c>
      <c r="C26" s="22" t="n">
        <v>1</v>
      </c>
      <c r="D26" s="13" t="s">
        <v>248</v>
      </c>
      <c r="E26" s="22" t="s">
        <v>188</v>
      </c>
      <c r="F26" s="22" t="s">
        <v>192</v>
      </c>
    </row>
    <row r="27" customFormat="false" ht="15" hidden="false" customHeight="false" outlineLevel="0" collapsed="false">
      <c r="A27" s="28" t="s">
        <v>249</v>
      </c>
      <c r="B27" s="13" t="s">
        <v>250</v>
      </c>
      <c r="C27" s="22" t="n">
        <v>1</v>
      </c>
      <c r="D27" s="13" t="s">
        <v>251</v>
      </c>
      <c r="E27" s="22" t="s">
        <v>188</v>
      </c>
      <c r="F27" s="22" t="s">
        <v>192</v>
      </c>
    </row>
    <row r="28" customFormat="false" ht="15" hidden="false" customHeight="false" outlineLevel="0" collapsed="false">
      <c r="A28" s="28" t="s">
        <v>252</v>
      </c>
      <c r="B28" s="13" t="s">
        <v>253</v>
      </c>
      <c r="C28" s="22" t="n">
        <v>1</v>
      </c>
      <c r="D28" s="13" t="s">
        <v>254</v>
      </c>
      <c r="E28" s="22" t="s">
        <v>188</v>
      </c>
      <c r="F28" s="22" t="s">
        <v>192</v>
      </c>
    </row>
    <row r="29" customFormat="false" ht="15" hidden="false" customHeight="false" outlineLevel="0" collapsed="false">
      <c r="A29" s="28" t="s">
        <v>255</v>
      </c>
      <c r="B29" s="13" t="s">
        <v>256</v>
      </c>
      <c r="C29" s="22" t="n">
        <v>1</v>
      </c>
      <c r="D29" s="13" t="s">
        <v>257</v>
      </c>
      <c r="E29" s="22" t="s">
        <v>188</v>
      </c>
      <c r="F29" s="22" t="s">
        <v>192</v>
      </c>
    </row>
    <row r="30" customFormat="false" ht="15" hidden="false" customHeight="false" outlineLevel="0" collapsed="false">
      <c r="A30" s="28" t="s">
        <v>258</v>
      </c>
      <c r="B30" s="13" t="s">
        <v>259</v>
      </c>
      <c r="C30" s="22" t="n">
        <v>1</v>
      </c>
      <c r="D30" s="13" t="s">
        <v>260</v>
      </c>
      <c r="E30" s="22" t="s">
        <v>188</v>
      </c>
      <c r="F30" s="22" t="s">
        <v>192</v>
      </c>
    </row>
    <row r="31" customFormat="false" ht="15" hidden="false" customHeight="false" outlineLevel="0" collapsed="false">
      <c r="A31" s="28" t="s">
        <v>261</v>
      </c>
      <c r="B31" s="13" t="s">
        <v>262</v>
      </c>
      <c r="C31" s="22" t="n">
        <v>3</v>
      </c>
      <c r="D31" s="13" t="s">
        <v>263</v>
      </c>
      <c r="E31" s="22" t="s">
        <v>188</v>
      </c>
      <c r="F31" s="22" t="s">
        <v>192</v>
      </c>
    </row>
    <row r="32" customFormat="false" ht="15" hidden="false" customHeight="false" outlineLevel="0" collapsed="false">
      <c r="A32" s="28" t="s">
        <v>264</v>
      </c>
      <c r="B32" s="13" t="s">
        <v>265</v>
      </c>
      <c r="C32" s="22" t="n">
        <v>1</v>
      </c>
      <c r="D32" s="13" t="s">
        <v>266</v>
      </c>
      <c r="E32" s="22" t="s">
        <v>188</v>
      </c>
      <c r="F32" s="22" t="s">
        <v>192</v>
      </c>
    </row>
    <row r="33" customFormat="false" ht="15" hidden="false" customHeight="false" outlineLevel="0" collapsed="false">
      <c r="A33" s="28" t="s">
        <v>267</v>
      </c>
      <c r="B33" s="13" t="s">
        <v>268</v>
      </c>
      <c r="C33" s="22" t="n">
        <v>1</v>
      </c>
      <c r="D33" s="13" t="s">
        <v>269</v>
      </c>
      <c r="E33" s="22" t="s">
        <v>188</v>
      </c>
      <c r="F33" s="22" t="s">
        <v>192</v>
      </c>
    </row>
    <row r="34" customFormat="false" ht="15" hidden="false" customHeight="false" outlineLevel="0" collapsed="false">
      <c r="A34" s="28" t="s">
        <v>270</v>
      </c>
      <c r="B34" s="13" t="s">
        <v>271</v>
      </c>
      <c r="C34" s="22" t="n">
        <v>2</v>
      </c>
      <c r="D34" s="13" t="s">
        <v>272</v>
      </c>
      <c r="E34" s="22" t="s">
        <v>188</v>
      </c>
      <c r="F34" s="22" t="s">
        <v>192</v>
      </c>
    </row>
    <row r="35" customFormat="false" ht="15" hidden="false" customHeight="false" outlineLevel="0" collapsed="false">
      <c r="A35" s="28" t="s">
        <v>273</v>
      </c>
      <c r="B35" s="13" t="s">
        <v>274</v>
      </c>
      <c r="C35" s="22" t="n">
        <v>2</v>
      </c>
      <c r="D35" s="13" t="s">
        <v>275</v>
      </c>
      <c r="E35" s="22" t="s">
        <v>188</v>
      </c>
      <c r="F35" s="22" t="s">
        <v>192</v>
      </c>
    </row>
    <row r="36" customFormat="false" ht="15" hidden="false" customHeight="false" outlineLevel="0" collapsed="false">
      <c r="A36" s="28" t="s">
        <v>276</v>
      </c>
      <c r="B36" s="13" t="s">
        <v>277</v>
      </c>
      <c r="C36" s="22" t="n">
        <v>6</v>
      </c>
      <c r="D36" s="13" t="s">
        <v>278</v>
      </c>
      <c r="E36" s="22" t="s">
        <v>188</v>
      </c>
      <c r="F36" s="22" t="s">
        <v>192</v>
      </c>
    </row>
    <row r="37" customFormat="false" ht="15" hidden="false" customHeight="false" outlineLevel="0" collapsed="false">
      <c r="A37" s="28" t="s">
        <v>33</v>
      </c>
      <c r="B37" s="13" t="s">
        <v>279</v>
      </c>
      <c r="C37" s="22" t="n">
        <v>1</v>
      </c>
      <c r="D37" s="13" t="s">
        <v>280</v>
      </c>
      <c r="E37" s="22" t="s">
        <v>188</v>
      </c>
      <c r="F37" s="22" t="s">
        <v>281</v>
      </c>
    </row>
    <row r="38" customFormat="false" ht="15" hidden="false" customHeight="false" outlineLevel="0" collapsed="false">
      <c r="A38" s="28" t="s">
        <v>282</v>
      </c>
      <c r="B38" s="13" t="s">
        <v>283</v>
      </c>
      <c r="C38" s="22" t="n">
        <v>3</v>
      </c>
      <c r="D38" s="13" t="s">
        <v>280</v>
      </c>
      <c r="E38" s="22" t="s">
        <v>188</v>
      </c>
      <c r="F38" s="22" t="s">
        <v>281</v>
      </c>
    </row>
    <row r="39" customFormat="false" ht="15" hidden="false" customHeight="false" outlineLevel="0" collapsed="false">
      <c r="A39" s="28" t="s">
        <v>284</v>
      </c>
      <c r="B39" s="13" t="s">
        <v>285</v>
      </c>
      <c r="C39" s="22" t="n">
        <v>3</v>
      </c>
      <c r="D39" s="13" t="s">
        <v>286</v>
      </c>
      <c r="E39" s="22" t="s">
        <v>188</v>
      </c>
      <c r="F39" s="22" t="s">
        <v>281</v>
      </c>
    </row>
    <row r="40" customFormat="false" ht="15" hidden="false" customHeight="false" outlineLevel="0" collapsed="false">
      <c r="A40" s="28" t="s">
        <v>287</v>
      </c>
      <c r="B40" s="13" t="s">
        <v>288</v>
      </c>
      <c r="C40" s="22" t="n">
        <v>3</v>
      </c>
      <c r="D40" s="13" t="s">
        <v>289</v>
      </c>
      <c r="E40" s="22" t="s">
        <v>188</v>
      </c>
      <c r="F40" s="22" t="s">
        <v>281</v>
      </c>
    </row>
    <row r="41" customFormat="false" ht="15" hidden="false" customHeight="false" outlineLevel="0" collapsed="false">
      <c r="A41" s="28" t="s">
        <v>53</v>
      </c>
      <c r="B41" s="13" t="s">
        <v>290</v>
      </c>
      <c r="C41" s="22" t="n">
        <v>1</v>
      </c>
      <c r="D41" s="13" t="s">
        <v>289</v>
      </c>
      <c r="E41" s="22" t="s">
        <v>188</v>
      </c>
      <c r="F41" s="22" t="s">
        <v>192</v>
      </c>
    </row>
    <row r="42" customFormat="false" ht="15" hidden="false" customHeight="false" outlineLevel="0" collapsed="false">
      <c r="A42" s="28" t="s">
        <v>291</v>
      </c>
      <c r="B42" s="13" t="s">
        <v>292</v>
      </c>
      <c r="C42" s="22" t="n">
        <v>3</v>
      </c>
      <c r="D42" s="13" t="s">
        <v>289</v>
      </c>
      <c r="E42" s="22" t="s">
        <v>188</v>
      </c>
      <c r="F42" s="22" t="s">
        <v>192</v>
      </c>
    </row>
    <row r="43" customFormat="false" ht="15" hidden="false" customHeight="false" outlineLevel="0" collapsed="false">
      <c r="A43" s="28" t="s">
        <v>293</v>
      </c>
      <c r="B43" s="13" t="s">
        <v>294</v>
      </c>
      <c r="C43" s="22" t="n">
        <v>2</v>
      </c>
      <c r="D43" s="13" t="s">
        <v>289</v>
      </c>
      <c r="E43" s="22" t="s">
        <v>188</v>
      </c>
      <c r="F43" s="22" t="s">
        <v>192</v>
      </c>
    </row>
    <row r="44" customFormat="false" ht="15" hidden="false" customHeight="false" outlineLevel="0" collapsed="false">
      <c r="A44" s="28" t="s">
        <v>295</v>
      </c>
      <c r="B44" s="13" t="s">
        <v>296</v>
      </c>
      <c r="C44" s="22" t="n">
        <v>3</v>
      </c>
      <c r="D44" s="13" t="s">
        <v>297</v>
      </c>
      <c r="E44" s="22" t="s">
        <v>188</v>
      </c>
      <c r="F44" s="22" t="s">
        <v>192</v>
      </c>
    </row>
    <row r="45" customFormat="false" ht="15" hidden="false" customHeight="false" outlineLevel="0" collapsed="false">
      <c r="A45" s="28" t="s">
        <v>298</v>
      </c>
      <c r="B45" s="13" t="s">
        <v>299</v>
      </c>
      <c r="C45" s="22" t="n">
        <v>1</v>
      </c>
      <c r="D45" s="13" t="s">
        <v>300</v>
      </c>
      <c r="E45" s="22" t="s">
        <v>188</v>
      </c>
      <c r="F45" s="22" t="s">
        <v>301</v>
      </c>
    </row>
    <row r="46" customFormat="false" ht="15" hidden="false" customHeight="false" outlineLevel="0" collapsed="false">
      <c r="A46" s="28" t="s">
        <v>302</v>
      </c>
      <c r="B46" s="13" t="s">
        <v>303</v>
      </c>
      <c r="C46" s="22" t="n">
        <v>6</v>
      </c>
      <c r="D46" s="13" t="s">
        <v>304</v>
      </c>
      <c r="E46" s="22" t="s">
        <v>188</v>
      </c>
      <c r="F46" s="22" t="s">
        <v>301</v>
      </c>
    </row>
    <row r="47" customFormat="false" ht="15" hidden="false" customHeight="false" outlineLevel="0" collapsed="false">
      <c r="A47" s="28" t="s">
        <v>305</v>
      </c>
      <c r="B47" s="13" t="s">
        <v>306</v>
      </c>
      <c r="C47" s="22" t="n">
        <v>1</v>
      </c>
      <c r="D47" s="13" t="s">
        <v>307</v>
      </c>
      <c r="E47" s="22" t="s">
        <v>188</v>
      </c>
      <c r="F47" s="22" t="s">
        <v>301</v>
      </c>
    </row>
    <row r="48" customFormat="false" ht="15" hidden="false" customHeight="false" outlineLevel="0" collapsed="false">
      <c r="A48" s="28" t="s">
        <v>308</v>
      </c>
      <c r="B48" s="13" t="s">
        <v>309</v>
      </c>
      <c r="C48" s="22" t="n">
        <v>2</v>
      </c>
      <c r="D48" s="13" t="s">
        <v>310</v>
      </c>
      <c r="E48" s="22" t="s">
        <v>188</v>
      </c>
      <c r="F48" s="22" t="s">
        <v>301</v>
      </c>
    </row>
    <row r="49" customFormat="false" ht="15" hidden="false" customHeight="false" outlineLevel="0" collapsed="false">
      <c r="A49" s="28" t="s">
        <v>311</v>
      </c>
      <c r="B49" s="13" t="s">
        <v>312</v>
      </c>
      <c r="C49" s="22" t="n">
        <v>1</v>
      </c>
      <c r="D49" s="13" t="s">
        <v>313</v>
      </c>
      <c r="E49" s="22" t="s">
        <v>188</v>
      </c>
      <c r="F49" s="22" t="s">
        <v>301</v>
      </c>
    </row>
    <row r="50" customFormat="false" ht="15" hidden="false" customHeight="false" outlineLevel="0" collapsed="false">
      <c r="A50" s="28" t="s">
        <v>314</v>
      </c>
      <c r="B50" s="13" t="s">
        <v>315</v>
      </c>
      <c r="C50" s="22" t="n">
        <v>1</v>
      </c>
      <c r="D50" s="13" t="s">
        <v>316</v>
      </c>
      <c r="E50" s="22" t="s">
        <v>188</v>
      </c>
      <c r="F50" s="22" t="s">
        <v>301</v>
      </c>
    </row>
    <row r="51" customFormat="false" ht="15" hidden="false" customHeight="false" outlineLevel="0" collapsed="false">
      <c r="A51" s="28" t="s">
        <v>317</v>
      </c>
      <c r="B51" s="13" t="s">
        <v>318</v>
      </c>
      <c r="C51" s="22" t="n">
        <v>6</v>
      </c>
      <c r="D51" s="13" t="s">
        <v>319</v>
      </c>
      <c r="E51" s="22" t="s">
        <v>188</v>
      </c>
      <c r="F51" s="22" t="s">
        <v>301</v>
      </c>
    </row>
    <row r="52" customFormat="false" ht="15" hidden="false" customHeight="false" outlineLevel="0" collapsed="false">
      <c r="A52" s="28" t="s">
        <v>320</v>
      </c>
      <c r="B52" s="13" t="s">
        <v>321</v>
      </c>
      <c r="C52" s="22" t="n">
        <v>16</v>
      </c>
      <c r="D52" s="13" t="s">
        <v>322</v>
      </c>
      <c r="E52" s="22" t="s">
        <v>188</v>
      </c>
      <c r="F52" s="22" t="s">
        <v>301</v>
      </c>
    </row>
    <row r="53" customFormat="false" ht="15" hidden="false" customHeight="false" outlineLevel="0" collapsed="false">
      <c r="A53" s="14" t="s">
        <v>323</v>
      </c>
      <c r="B53" s="14"/>
      <c r="C53" s="14"/>
      <c r="D53" s="14"/>
      <c r="E53" s="14"/>
      <c r="F53" s="14"/>
    </row>
    <row r="54" customFormat="false" ht="15" hidden="false" customHeight="false" outlineLevel="0" collapsed="false">
      <c r="A54" s="28" t="s">
        <v>324</v>
      </c>
      <c r="B54" s="13" t="s">
        <v>325</v>
      </c>
      <c r="C54" s="22" t="n">
        <v>1</v>
      </c>
      <c r="D54" s="13" t="s">
        <v>326</v>
      </c>
      <c r="E54" s="22" t="s">
        <v>327</v>
      </c>
      <c r="F54" s="22" t="s">
        <v>328</v>
      </c>
    </row>
    <row r="55" customFormat="false" ht="15" hidden="false" customHeight="false" outlineLevel="0" collapsed="false">
      <c r="A55" s="28" t="s">
        <v>138</v>
      </c>
      <c r="B55" s="13" t="s">
        <v>329</v>
      </c>
      <c r="C55" s="22" t="n">
        <v>1</v>
      </c>
      <c r="D55" s="13" t="s">
        <v>330</v>
      </c>
      <c r="E55" s="22" t="s">
        <v>327</v>
      </c>
      <c r="F55" s="22" t="s">
        <v>331</v>
      </c>
    </row>
    <row r="56" customFormat="false" ht="15" hidden="false" customHeight="false" outlineLevel="0" collapsed="false">
      <c r="A56" s="28" t="s">
        <v>332</v>
      </c>
      <c r="B56" s="13" t="s">
        <v>333</v>
      </c>
      <c r="C56" s="22" t="n">
        <v>1</v>
      </c>
      <c r="D56" s="13" t="s">
        <v>334</v>
      </c>
      <c r="E56" s="22" t="s">
        <v>327</v>
      </c>
      <c r="F56" s="22" t="s">
        <v>328</v>
      </c>
    </row>
    <row r="57" customFormat="false" ht="15" hidden="false" customHeight="false" outlineLevel="0" collapsed="false">
      <c r="A57" s="28" t="s">
        <v>335</v>
      </c>
      <c r="B57" s="13" t="s">
        <v>336</v>
      </c>
      <c r="C57" s="22" t="n">
        <v>6</v>
      </c>
      <c r="D57" s="13" t="s">
        <v>337</v>
      </c>
      <c r="E57" s="22" t="s">
        <v>327</v>
      </c>
      <c r="F57" s="22" t="s">
        <v>338</v>
      </c>
    </row>
    <row r="58" customFormat="false" ht="15" hidden="false" customHeight="false" outlineLevel="0" collapsed="false">
      <c r="A58" s="28" t="s">
        <v>339</v>
      </c>
      <c r="B58" s="13" t="s">
        <v>340</v>
      </c>
      <c r="C58" s="22" t="n">
        <v>1</v>
      </c>
      <c r="D58" s="13" t="s">
        <v>341</v>
      </c>
      <c r="E58" s="22" t="s">
        <v>327</v>
      </c>
      <c r="F58" s="22" t="s">
        <v>338</v>
      </c>
    </row>
    <row r="59" customFormat="false" ht="23.85" hidden="false" customHeight="false" outlineLevel="0" collapsed="false">
      <c r="A59" s="28" t="s">
        <v>342</v>
      </c>
      <c r="B59" s="13" t="s">
        <v>343</v>
      </c>
      <c r="C59" s="22" t="n">
        <v>1</v>
      </c>
      <c r="D59" s="13" t="s">
        <v>344</v>
      </c>
      <c r="E59" s="22" t="s">
        <v>327</v>
      </c>
      <c r="F59" s="22" t="s">
        <v>338</v>
      </c>
    </row>
    <row r="60" customFormat="false" ht="15" hidden="false" customHeight="false" outlineLevel="0" collapsed="false">
      <c r="A60" s="28" t="s">
        <v>345</v>
      </c>
      <c r="B60" s="13" t="s">
        <v>346</v>
      </c>
      <c r="C60" s="22" t="n">
        <v>1</v>
      </c>
      <c r="D60" s="13" t="s">
        <v>347</v>
      </c>
      <c r="E60" s="22" t="s">
        <v>327</v>
      </c>
      <c r="F60" s="22" t="s">
        <v>348</v>
      </c>
    </row>
    <row r="61" customFormat="false" ht="15" hidden="false" customHeight="false" outlineLevel="0" collapsed="false">
      <c r="A61" s="28" t="s">
        <v>349</v>
      </c>
      <c r="B61" s="13" t="s">
        <v>350</v>
      </c>
      <c r="C61" s="22" t="n">
        <v>10</v>
      </c>
      <c r="D61" s="13" t="s">
        <v>351</v>
      </c>
      <c r="E61" s="22" t="s">
        <v>327</v>
      </c>
      <c r="F61" s="22" t="s">
        <v>348</v>
      </c>
    </row>
    <row r="62" customFormat="false" ht="15" hidden="false" customHeight="false" outlineLevel="0" collapsed="false">
      <c r="A62" s="28" t="s">
        <v>352</v>
      </c>
      <c r="B62" s="13" t="s">
        <v>350</v>
      </c>
      <c r="C62" s="22" t="n">
        <v>10</v>
      </c>
      <c r="D62" s="13" t="s">
        <v>353</v>
      </c>
      <c r="E62" s="22" t="s">
        <v>327</v>
      </c>
      <c r="F62" s="22" t="s">
        <v>348</v>
      </c>
    </row>
    <row r="63" customFormat="false" ht="15" hidden="false" customHeight="false" outlineLevel="0" collapsed="false">
      <c r="A63" s="28" t="s">
        <v>354</v>
      </c>
      <c r="B63" s="13" t="s">
        <v>350</v>
      </c>
      <c r="C63" s="22" t="n">
        <v>10</v>
      </c>
      <c r="D63" s="13" t="s">
        <v>355</v>
      </c>
      <c r="E63" s="22" t="s">
        <v>327</v>
      </c>
      <c r="F63" s="22" t="s">
        <v>348</v>
      </c>
    </row>
    <row r="64" customFormat="false" ht="15" hidden="false" customHeight="false" outlineLevel="0" collapsed="false">
      <c r="A64" s="28" t="s">
        <v>356</v>
      </c>
      <c r="B64" s="13" t="s">
        <v>357</v>
      </c>
      <c r="C64" s="22" t="n">
        <v>17</v>
      </c>
      <c r="D64" s="13" t="s">
        <v>358</v>
      </c>
      <c r="E64" s="22" t="s">
        <v>327</v>
      </c>
      <c r="F64" s="22" t="s">
        <v>348</v>
      </c>
    </row>
    <row r="65" customFormat="false" ht="15" hidden="false" customHeight="false" outlineLevel="0" collapsed="false">
      <c r="A65" s="28" t="s">
        <v>359</v>
      </c>
      <c r="B65" s="13" t="s">
        <v>357</v>
      </c>
      <c r="C65" s="22" t="n">
        <v>17</v>
      </c>
      <c r="D65" s="13" t="s">
        <v>360</v>
      </c>
      <c r="E65" s="22" t="s">
        <v>327</v>
      </c>
      <c r="F65" s="22" t="s">
        <v>348</v>
      </c>
    </row>
    <row r="66" customFormat="false" ht="15" hidden="false" customHeight="false" outlineLevel="0" collapsed="false">
      <c r="A66" s="28" t="s">
        <v>361</v>
      </c>
      <c r="B66" s="13" t="s">
        <v>357</v>
      </c>
      <c r="C66" s="22" t="n">
        <v>16</v>
      </c>
      <c r="D66" s="13" t="s">
        <v>362</v>
      </c>
      <c r="E66" s="22" t="s">
        <v>327</v>
      </c>
      <c r="F66" s="22" t="s">
        <v>348</v>
      </c>
    </row>
    <row r="67" customFormat="false" ht="15" hidden="false" customHeight="false" outlineLevel="0" collapsed="false">
      <c r="A67" s="28" t="s">
        <v>363</v>
      </c>
      <c r="B67" s="13" t="s">
        <v>364</v>
      </c>
      <c r="C67" s="22" t="n">
        <v>4</v>
      </c>
      <c r="D67" s="13" t="s">
        <v>365</v>
      </c>
      <c r="E67" s="22" t="s">
        <v>327</v>
      </c>
      <c r="F67" s="22" t="s">
        <v>348</v>
      </c>
    </row>
    <row r="68" customFormat="false" ht="15" hidden="false" customHeight="false" outlineLevel="0" collapsed="false">
      <c r="A68" s="28" t="s">
        <v>366</v>
      </c>
      <c r="B68" s="13" t="s">
        <v>364</v>
      </c>
      <c r="C68" s="22" t="n">
        <v>3</v>
      </c>
      <c r="D68" s="13" t="s">
        <v>367</v>
      </c>
      <c r="E68" s="22" t="s">
        <v>327</v>
      </c>
      <c r="F68" s="22" t="s">
        <v>348</v>
      </c>
    </row>
    <row r="69" customFormat="false" ht="15" hidden="false" customHeight="false" outlineLevel="0" collapsed="false">
      <c r="A69" s="28" t="s">
        <v>368</v>
      </c>
      <c r="B69" s="13" t="s">
        <v>364</v>
      </c>
      <c r="C69" s="22" t="n">
        <v>3</v>
      </c>
      <c r="D69" s="13" t="s">
        <v>369</v>
      </c>
      <c r="E69" s="22" t="s">
        <v>327</v>
      </c>
      <c r="F69" s="22" t="s">
        <v>348</v>
      </c>
    </row>
    <row r="70" customFormat="false" ht="15" hidden="false" customHeight="false" outlineLevel="0" collapsed="false">
      <c r="A70" s="28" t="s">
        <v>370</v>
      </c>
      <c r="B70" s="13" t="s">
        <v>371</v>
      </c>
      <c r="C70" s="22" t="n">
        <v>1</v>
      </c>
      <c r="D70" s="13" t="s">
        <v>372</v>
      </c>
      <c r="E70" s="22" t="s">
        <v>327</v>
      </c>
      <c r="F70" s="22" t="s">
        <v>373</v>
      </c>
    </row>
    <row r="71" customFormat="false" ht="15" hidden="false" customHeight="false" outlineLevel="0" collapsed="false">
      <c r="A71" s="28" t="s">
        <v>374</v>
      </c>
      <c r="B71" s="13" t="s">
        <v>371</v>
      </c>
      <c r="C71" s="22" t="n">
        <v>1</v>
      </c>
      <c r="D71" s="13" t="s">
        <v>375</v>
      </c>
      <c r="E71" s="22" t="s">
        <v>327</v>
      </c>
      <c r="F71" s="22" t="s">
        <v>373</v>
      </c>
    </row>
    <row r="72" customFormat="false" ht="15" hidden="false" customHeight="false" outlineLevel="0" collapsed="false">
      <c r="A72" s="28" t="s">
        <v>376</v>
      </c>
      <c r="B72" s="13" t="s">
        <v>371</v>
      </c>
      <c r="C72" s="22" t="n">
        <v>1</v>
      </c>
      <c r="D72" s="13" t="s">
        <v>377</v>
      </c>
      <c r="E72" s="22" t="s">
        <v>327</v>
      </c>
      <c r="F72" s="22" t="s">
        <v>373</v>
      </c>
    </row>
    <row r="73" customFormat="false" ht="15" hidden="false" customHeight="false" outlineLevel="0" collapsed="false">
      <c r="A73" s="28" t="s">
        <v>378</v>
      </c>
      <c r="B73" s="13" t="s">
        <v>379</v>
      </c>
      <c r="C73" s="22" t="n">
        <v>1</v>
      </c>
      <c r="D73" s="13" t="s">
        <v>380</v>
      </c>
      <c r="E73" s="22" t="s">
        <v>327</v>
      </c>
      <c r="F73" s="22" t="s">
        <v>373</v>
      </c>
    </row>
    <row r="74" customFormat="false" ht="15" hidden="false" customHeight="false" outlineLevel="0" collapsed="false">
      <c r="A74" s="28" t="s">
        <v>381</v>
      </c>
      <c r="B74" s="13" t="s">
        <v>382</v>
      </c>
      <c r="C74" s="22" t="n">
        <v>6</v>
      </c>
      <c r="D74" s="13" t="s">
        <v>383</v>
      </c>
      <c r="E74" s="22" t="s">
        <v>327</v>
      </c>
      <c r="F74" s="22" t="s">
        <v>338</v>
      </c>
    </row>
    <row r="75" customFormat="false" ht="15" hidden="false" customHeight="false" outlineLevel="0" collapsed="false">
      <c r="A75" s="28" t="s">
        <v>153</v>
      </c>
      <c r="B75" s="13" t="s">
        <v>382</v>
      </c>
      <c r="C75" s="22" t="n">
        <v>1</v>
      </c>
      <c r="D75" s="13" t="s">
        <v>384</v>
      </c>
      <c r="E75" s="22" t="s">
        <v>327</v>
      </c>
      <c r="F75" s="22" t="s">
        <v>338</v>
      </c>
    </row>
    <row r="76" customFormat="false" ht="15" hidden="false" customHeight="false" outlineLevel="0" collapsed="false">
      <c r="A76" s="28" t="s">
        <v>385</v>
      </c>
      <c r="B76" s="13" t="s">
        <v>382</v>
      </c>
      <c r="C76" s="22" t="n">
        <v>3</v>
      </c>
      <c r="D76" s="13" t="s">
        <v>386</v>
      </c>
      <c r="E76" s="22" t="s">
        <v>327</v>
      </c>
      <c r="F76" s="22" t="s">
        <v>338</v>
      </c>
    </row>
    <row r="77" customFormat="false" ht="15" hidden="false" customHeight="false" outlineLevel="0" collapsed="false">
      <c r="A77" s="28" t="s">
        <v>387</v>
      </c>
      <c r="B77" s="13" t="s">
        <v>382</v>
      </c>
      <c r="C77" s="22" t="n">
        <v>3</v>
      </c>
      <c r="D77" s="13" t="s">
        <v>388</v>
      </c>
      <c r="E77" s="22" t="s">
        <v>327</v>
      </c>
      <c r="F77" s="22" t="s">
        <v>338</v>
      </c>
    </row>
    <row r="78" customFormat="false" ht="15" hidden="false" customHeight="false" outlineLevel="0" collapsed="false">
      <c r="A78" s="28" t="s">
        <v>389</v>
      </c>
      <c r="B78" s="13" t="s">
        <v>382</v>
      </c>
      <c r="C78" s="22" t="n">
        <v>3</v>
      </c>
      <c r="D78" s="13" t="s">
        <v>390</v>
      </c>
      <c r="E78" s="22" t="s">
        <v>327</v>
      </c>
      <c r="F78" s="22" t="s">
        <v>338</v>
      </c>
    </row>
    <row r="79" customFormat="false" ht="15" hidden="false" customHeight="false" outlineLevel="0" collapsed="false">
      <c r="A79" s="28" t="s">
        <v>169</v>
      </c>
      <c r="B79" s="13" t="s">
        <v>382</v>
      </c>
      <c r="C79" s="22" t="n">
        <v>1</v>
      </c>
      <c r="D79" s="13" t="s">
        <v>391</v>
      </c>
      <c r="E79" s="22" t="s">
        <v>327</v>
      </c>
      <c r="F79" s="22" t="s">
        <v>338</v>
      </c>
    </row>
    <row r="80" customFormat="false" ht="15" hidden="false" customHeight="false" outlineLevel="0" collapsed="false">
      <c r="A80" s="28" t="s">
        <v>392</v>
      </c>
      <c r="B80" s="13" t="s">
        <v>382</v>
      </c>
      <c r="C80" s="22" t="n">
        <v>3</v>
      </c>
      <c r="D80" s="13" t="s">
        <v>393</v>
      </c>
      <c r="E80" s="22" t="s">
        <v>327</v>
      </c>
      <c r="F80" s="22" t="s">
        <v>338</v>
      </c>
    </row>
    <row r="81" customFormat="false" ht="15" hidden="false" customHeight="false" outlineLevel="0" collapsed="false">
      <c r="A81" s="28" t="s">
        <v>394</v>
      </c>
      <c r="B81" s="13" t="s">
        <v>382</v>
      </c>
      <c r="C81" s="22" t="n">
        <v>2</v>
      </c>
      <c r="D81" s="13" t="s">
        <v>395</v>
      </c>
      <c r="E81" s="22" t="s">
        <v>327</v>
      </c>
      <c r="F81" s="22" t="s">
        <v>338</v>
      </c>
    </row>
  </sheetData>
  <mergeCells count="2">
    <mergeCell ref="A5:F5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46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396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397</v>
      </c>
      <c r="B3" s="3"/>
      <c r="C3" s="4" t="n">
        <v>10</v>
      </c>
    </row>
    <row r="5" customFormat="false" ht="23.85" hidden="false" customHeight="false" outlineLevel="0" collapsed="false">
      <c r="A5" s="7" t="s">
        <v>10</v>
      </c>
      <c r="B5" s="7" t="s">
        <v>398</v>
      </c>
      <c r="C5" s="7" t="s">
        <v>180</v>
      </c>
      <c r="D5" s="7" t="s">
        <v>399</v>
      </c>
      <c r="E5" s="7" t="s">
        <v>400</v>
      </c>
      <c r="F5" s="7" t="s">
        <v>401</v>
      </c>
      <c r="G5" s="7" t="s">
        <v>13</v>
      </c>
      <c r="H5" s="7" t="s">
        <v>402</v>
      </c>
      <c r="I5" s="7" t="s">
        <v>403</v>
      </c>
    </row>
    <row r="6" customFormat="false" ht="23.85" hidden="false" customHeight="false" outlineLevel="0" collapsed="false">
      <c r="A6" s="28" t="s">
        <v>345</v>
      </c>
      <c r="B6" s="13" t="s">
        <v>346</v>
      </c>
      <c r="C6" s="10" t="n">
        <v>1</v>
      </c>
      <c r="D6" s="29" t="n">
        <v>2000</v>
      </c>
      <c r="E6" s="30" t="n">
        <f aca="false">C6*D6</f>
        <v>2000</v>
      </c>
      <c r="F6" s="31" t="s">
        <v>33</v>
      </c>
      <c r="G6" s="22" t="s">
        <v>17</v>
      </c>
      <c r="H6" s="8" t="s">
        <v>404</v>
      </c>
      <c r="I6" s="13" t="s">
        <v>405</v>
      </c>
    </row>
    <row r="7" customFormat="false" ht="15" hidden="false" customHeight="false" outlineLevel="0" collapsed="false">
      <c r="A7" s="28" t="s">
        <v>349</v>
      </c>
      <c r="B7" s="13" t="s">
        <v>406</v>
      </c>
      <c r="C7" s="10" t="n">
        <v>10</v>
      </c>
      <c r="D7" s="29" t="n">
        <v>300</v>
      </c>
      <c r="E7" s="30" t="n">
        <f aca="false">C7*D7</f>
        <v>3000</v>
      </c>
      <c r="F7" s="31" t="s">
        <v>35</v>
      </c>
      <c r="G7" s="22" t="s">
        <v>18</v>
      </c>
      <c r="H7" s="8" t="s">
        <v>407</v>
      </c>
      <c r="I7" s="13" t="s">
        <v>408</v>
      </c>
    </row>
    <row r="8" customFormat="false" ht="15" hidden="false" customHeight="false" outlineLevel="0" collapsed="false">
      <c r="A8" s="28" t="s">
        <v>352</v>
      </c>
      <c r="B8" s="13" t="s">
        <v>406</v>
      </c>
      <c r="C8" s="10" t="n">
        <v>10</v>
      </c>
      <c r="D8" s="29" t="n">
        <v>300</v>
      </c>
      <c r="E8" s="30" t="n">
        <f aca="false">C8*D8</f>
        <v>3000</v>
      </c>
      <c r="F8" s="31" t="s">
        <v>37</v>
      </c>
      <c r="G8" s="22" t="s">
        <v>19</v>
      </c>
      <c r="H8" s="8" t="s">
        <v>409</v>
      </c>
      <c r="I8" s="13" t="s">
        <v>408</v>
      </c>
    </row>
    <row r="9" customFormat="false" ht="15" hidden="false" customHeight="false" outlineLevel="0" collapsed="false">
      <c r="A9" s="28" t="s">
        <v>354</v>
      </c>
      <c r="B9" s="13" t="s">
        <v>406</v>
      </c>
      <c r="C9" s="10" t="n">
        <v>10</v>
      </c>
      <c r="D9" s="29" t="n">
        <v>300</v>
      </c>
      <c r="E9" s="30" t="n">
        <f aca="false">C9*D9</f>
        <v>3000</v>
      </c>
      <c r="F9" s="31" t="s">
        <v>39</v>
      </c>
      <c r="G9" s="22" t="s">
        <v>17</v>
      </c>
      <c r="H9" s="8" t="s">
        <v>410</v>
      </c>
      <c r="I9" s="13" t="s">
        <v>408</v>
      </c>
    </row>
    <row r="10" customFormat="false" ht="23.85" hidden="false" customHeight="false" outlineLevel="0" collapsed="false">
      <c r="A10" s="28" t="s">
        <v>356</v>
      </c>
      <c r="B10" s="13" t="s">
        <v>357</v>
      </c>
      <c r="C10" s="10" t="n">
        <v>17</v>
      </c>
      <c r="D10" s="29" t="n">
        <v>15</v>
      </c>
      <c r="E10" s="30" t="n">
        <f aca="false">C10*D10</f>
        <v>255</v>
      </c>
      <c r="F10" s="31" t="s">
        <v>41</v>
      </c>
      <c r="G10" s="22" t="s">
        <v>18</v>
      </c>
      <c r="H10" s="8" t="s">
        <v>411</v>
      </c>
      <c r="I10" s="13" t="s">
        <v>412</v>
      </c>
    </row>
    <row r="11" customFormat="false" ht="23.85" hidden="false" customHeight="false" outlineLevel="0" collapsed="false">
      <c r="A11" s="28" t="s">
        <v>359</v>
      </c>
      <c r="B11" s="13" t="s">
        <v>357</v>
      </c>
      <c r="C11" s="10" t="n">
        <v>17</v>
      </c>
      <c r="D11" s="29" t="n">
        <v>15</v>
      </c>
      <c r="E11" s="30" t="n">
        <f aca="false">C11*D11</f>
        <v>255</v>
      </c>
      <c r="F11" s="31" t="s">
        <v>43</v>
      </c>
      <c r="G11" s="22" t="s">
        <v>17</v>
      </c>
      <c r="H11" s="8" t="s">
        <v>413</v>
      </c>
      <c r="I11" s="13" t="s">
        <v>412</v>
      </c>
    </row>
    <row r="12" customFormat="false" ht="23.85" hidden="false" customHeight="false" outlineLevel="0" collapsed="false">
      <c r="A12" s="28" t="s">
        <v>361</v>
      </c>
      <c r="B12" s="13" t="s">
        <v>357</v>
      </c>
      <c r="C12" s="10" t="n">
        <v>16</v>
      </c>
      <c r="D12" s="29" t="n">
        <v>15</v>
      </c>
      <c r="E12" s="30" t="n">
        <f aca="false">C12*D12</f>
        <v>240</v>
      </c>
      <c r="F12" s="31" t="s">
        <v>45</v>
      </c>
      <c r="G12" s="22" t="s">
        <v>19</v>
      </c>
      <c r="H12" s="8" t="s">
        <v>414</v>
      </c>
      <c r="I12" s="13" t="s">
        <v>412</v>
      </c>
    </row>
    <row r="13" customFormat="false" ht="15" hidden="false" customHeight="false" outlineLevel="0" collapsed="false">
      <c r="A13" s="28" t="s">
        <v>363</v>
      </c>
      <c r="B13" s="13" t="s">
        <v>364</v>
      </c>
      <c r="C13" s="10" t="n">
        <v>4</v>
      </c>
      <c r="D13" s="29" t="n">
        <v>100</v>
      </c>
      <c r="E13" s="30" t="n">
        <f aca="false">C13*D13</f>
        <v>400</v>
      </c>
      <c r="F13" s="31" t="s">
        <v>47</v>
      </c>
      <c r="G13" s="22" t="s">
        <v>19</v>
      </c>
      <c r="H13" s="8" t="s">
        <v>415</v>
      </c>
      <c r="I13" s="13" t="s">
        <v>416</v>
      </c>
    </row>
    <row r="14" customFormat="false" ht="15" hidden="false" customHeight="false" outlineLevel="0" collapsed="false">
      <c r="A14" s="28" t="s">
        <v>366</v>
      </c>
      <c r="B14" s="13" t="s">
        <v>364</v>
      </c>
      <c r="C14" s="10" t="n">
        <v>3</v>
      </c>
      <c r="D14" s="29" t="n">
        <v>100</v>
      </c>
      <c r="E14" s="30" t="n">
        <f aca="false">C14*D14</f>
        <v>300</v>
      </c>
      <c r="F14" s="31" t="s">
        <v>49</v>
      </c>
      <c r="G14" s="22" t="s">
        <v>18</v>
      </c>
      <c r="H14" s="8" t="s">
        <v>417</v>
      </c>
      <c r="I14" s="13" t="s">
        <v>416</v>
      </c>
    </row>
    <row r="15" customFormat="false" ht="15" hidden="false" customHeight="false" outlineLevel="0" collapsed="false">
      <c r="A15" s="28" t="s">
        <v>368</v>
      </c>
      <c r="B15" s="13" t="s">
        <v>364</v>
      </c>
      <c r="C15" s="10" t="n">
        <v>3</v>
      </c>
      <c r="D15" s="29" t="n">
        <v>100</v>
      </c>
      <c r="E15" s="30" t="n">
        <f aca="false">C15*D15</f>
        <v>300</v>
      </c>
      <c r="F15" s="31" t="s">
        <v>51</v>
      </c>
      <c r="G15" s="22" t="s">
        <v>17</v>
      </c>
      <c r="H15" s="8" t="s">
        <v>418</v>
      </c>
      <c r="I15" s="13" t="s">
        <v>416</v>
      </c>
    </row>
    <row r="16" customFormat="false" ht="15" hidden="false" customHeight="false" outlineLevel="0" collapsed="false">
      <c r="A16" s="14" t="s">
        <v>70</v>
      </c>
      <c r="B16" s="15"/>
      <c r="C16" s="32" t="n">
        <f aca="false">SUM(C6:C15)</f>
        <v>91</v>
      </c>
      <c r="D16" s="15"/>
      <c r="E16" s="32" t="n">
        <f aca="false">SUM(E6:E15)</f>
        <v>12750</v>
      </c>
      <c r="F16" s="15"/>
      <c r="G16" s="15"/>
      <c r="H16" s="15"/>
      <c r="I16" s="15"/>
    </row>
    <row r="18" customFormat="false" ht="15" hidden="false" customHeight="false" outlineLevel="0" collapsed="false">
      <c r="A18" s="14" t="s">
        <v>419</v>
      </c>
      <c r="B18" s="14"/>
      <c r="C18" s="14"/>
      <c r="D18" s="14"/>
      <c r="E18" s="14"/>
      <c r="F18" s="14"/>
      <c r="G18" s="14"/>
      <c r="H18" s="14"/>
      <c r="I18" s="14"/>
    </row>
    <row r="19" customFormat="false" ht="15" hidden="false" customHeight="false" outlineLevel="0" collapsed="false">
      <c r="A19" s="3" t="s">
        <v>370</v>
      </c>
      <c r="B19" s="8" t="s">
        <v>371</v>
      </c>
      <c r="C19" s="10" t="n">
        <v>1</v>
      </c>
      <c r="D19" s="8"/>
      <c r="E19" s="8"/>
      <c r="F19" s="31" t="s">
        <v>47</v>
      </c>
      <c r="G19" s="22" t="s">
        <v>19</v>
      </c>
      <c r="H19" s="8" t="s">
        <v>166</v>
      </c>
      <c r="I19" s="8" t="s">
        <v>420</v>
      </c>
    </row>
    <row r="20" customFormat="false" ht="15" hidden="false" customHeight="false" outlineLevel="0" collapsed="false">
      <c r="A20" s="3" t="s">
        <v>374</v>
      </c>
      <c r="B20" s="8" t="s">
        <v>371</v>
      </c>
      <c r="C20" s="10" t="n">
        <v>1</v>
      </c>
      <c r="D20" s="8"/>
      <c r="E20" s="8"/>
      <c r="F20" s="31" t="s">
        <v>49</v>
      </c>
      <c r="G20" s="22" t="s">
        <v>18</v>
      </c>
      <c r="H20" s="8" t="s">
        <v>167</v>
      </c>
      <c r="I20" s="8" t="s">
        <v>420</v>
      </c>
    </row>
    <row r="21" customFormat="false" ht="15" hidden="false" customHeight="false" outlineLevel="0" collapsed="false">
      <c r="A21" s="3" t="s">
        <v>376</v>
      </c>
      <c r="B21" s="8" t="s">
        <v>371</v>
      </c>
      <c r="C21" s="10" t="n">
        <v>1</v>
      </c>
      <c r="D21" s="8"/>
      <c r="E21" s="8"/>
      <c r="F21" s="31" t="s">
        <v>51</v>
      </c>
      <c r="G21" s="22" t="s">
        <v>17</v>
      </c>
      <c r="H21" s="8" t="s">
        <v>168</v>
      </c>
      <c r="I21" s="8" t="s">
        <v>420</v>
      </c>
    </row>
    <row r="22" customFormat="false" ht="15" hidden="false" customHeight="false" outlineLevel="0" collapsed="false">
      <c r="A22" s="3" t="s">
        <v>389</v>
      </c>
      <c r="B22" s="8" t="s">
        <v>421</v>
      </c>
      <c r="C22" s="33" t="n">
        <f aca="false">ROUNDUP(('Kablo Çizelgesi'!K29+'Kablo Çizelgesi'!K30+'Kablo Çizelgesi'!K31)*(1+$C$3/100),0)</f>
        <v>220</v>
      </c>
      <c r="D22" s="22" t="s">
        <v>422</v>
      </c>
      <c r="E22" s="8"/>
      <c r="F22" s="22" t="s">
        <v>423</v>
      </c>
      <c r="G22" s="22" t="s">
        <v>67</v>
      </c>
      <c r="H22" s="8" t="s">
        <v>424</v>
      </c>
      <c r="I22" s="8" t="s">
        <v>425</v>
      </c>
    </row>
    <row r="23" customFormat="false" ht="15" hidden="false" customHeight="false" outlineLevel="0" collapsed="false">
      <c r="A23" s="3" t="s">
        <v>378</v>
      </c>
      <c r="B23" s="8" t="s">
        <v>426</v>
      </c>
      <c r="C23" s="10" t="n">
        <v>1</v>
      </c>
      <c r="D23" s="22"/>
      <c r="E23" s="22"/>
      <c r="F23" s="22" t="s">
        <v>67</v>
      </c>
      <c r="G23" s="22" t="s">
        <v>67</v>
      </c>
      <c r="H23" s="8" t="s">
        <v>427</v>
      </c>
      <c r="I23" s="8" t="s">
        <v>428</v>
      </c>
    </row>
  </sheetData>
  <mergeCells count="2">
    <mergeCell ref="A3:B3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7" topLeftCell="A2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429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430</v>
      </c>
      <c r="B3" s="3"/>
      <c r="C3" s="4" t="n">
        <v>20</v>
      </c>
    </row>
    <row r="4" customFormat="false" ht="15" hidden="false" customHeight="false" outlineLevel="0" collapsed="false">
      <c r="A4" s="3" t="s">
        <v>431</v>
      </c>
      <c r="B4" s="3"/>
      <c r="C4" s="4" t="n">
        <v>20</v>
      </c>
    </row>
    <row r="5" customFormat="false" ht="15" hidden="false" customHeight="false" outlineLevel="0" collapsed="false">
      <c r="A5" s="3" t="s">
        <v>432</v>
      </c>
      <c r="B5" s="3"/>
      <c r="C5" s="4" t="n">
        <v>1</v>
      </c>
    </row>
    <row r="6" customFormat="false" ht="15" hidden="false" customHeight="false" outlineLevel="0" collapsed="false">
      <c r="A6" s="3" t="s">
        <v>433</v>
      </c>
      <c r="B6" s="3"/>
      <c r="C6" s="4" t="n">
        <v>0.8</v>
      </c>
    </row>
    <row r="7" customFormat="false" ht="15" hidden="false" customHeight="false" outlineLevel="0" collapsed="false">
      <c r="A7" s="3" t="s">
        <v>434</v>
      </c>
      <c r="B7" s="3"/>
      <c r="C7" s="4" t="n">
        <v>3</v>
      </c>
    </row>
    <row r="8" customFormat="false" ht="15" hidden="false" customHeight="false" outlineLevel="0" collapsed="false">
      <c r="A8" s="3" t="s">
        <v>435</v>
      </c>
      <c r="B8" s="3"/>
      <c r="C8" s="4" t="n">
        <v>10</v>
      </c>
    </row>
    <row r="9" customFormat="false" ht="15" hidden="false" customHeight="false" outlineLevel="0" collapsed="false">
      <c r="A9" s="3" t="s">
        <v>436</v>
      </c>
      <c r="B9" s="3"/>
      <c r="C9" s="4" t="n">
        <v>15</v>
      </c>
    </row>
    <row r="10" customFormat="false" ht="15" hidden="false" customHeight="false" outlineLevel="0" collapsed="false">
      <c r="A10" s="3" t="s">
        <v>437</v>
      </c>
      <c r="B10" s="3"/>
      <c r="C10" s="4" t="n">
        <v>10</v>
      </c>
    </row>
    <row r="11" customFormat="false" ht="15" hidden="false" customHeight="false" outlineLevel="0" collapsed="false">
      <c r="A11" s="3" t="s">
        <v>438</v>
      </c>
      <c r="B11" s="3"/>
      <c r="C11" s="4" t="n">
        <v>10</v>
      </c>
    </row>
    <row r="12" customFormat="false" ht="15" hidden="false" customHeight="false" outlineLevel="0" collapsed="false">
      <c r="A12" s="3" t="s">
        <v>439</v>
      </c>
      <c r="B12" s="3"/>
      <c r="C12" s="4" t="n">
        <v>16</v>
      </c>
    </row>
    <row r="13" customFormat="false" ht="15" hidden="false" customHeight="false" outlineLevel="0" collapsed="false">
      <c r="A13" s="3" t="s">
        <v>440</v>
      </c>
      <c r="B13" s="3"/>
      <c r="C13" s="4" t="n">
        <v>25</v>
      </c>
    </row>
    <row r="14" customFormat="false" ht="15" hidden="false" customHeight="false" outlineLevel="0" collapsed="false">
      <c r="A14" s="3" t="s">
        <v>441</v>
      </c>
      <c r="B14" s="3"/>
      <c r="C14" s="4" t="n">
        <v>6</v>
      </c>
    </row>
    <row r="15" customFormat="false" ht="15" hidden="false" customHeight="false" outlineLevel="0" collapsed="false">
      <c r="A15" s="3" t="s">
        <v>442</v>
      </c>
      <c r="B15" s="3"/>
      <c r="C15" s="4" t="n">
        <v>4</v>
      </c>
    </row>
    <row r="16" customFormat="false" ht="15" hidden="false" customHeight="false" outlineLevel="0" collapsed="false">
      <c r="A16" s="3" t="s">
        <v>443</v>
      </c>
      <c r="B16" s="3"/>
      <c r="C16" s="4" t="n">
        <v>2.5</v>
      </c>
    </row>
    <row r="17" customFormat="false" ht="15" hidden="false" customHeight="false" outlineLevel="0" collapsed="false">
      <c r="A17" s="3" t="s">
        <v>444</v>
      </c>
      <c r="B17" s="3"/>
      <c r="C17" s="4" t="n">
        <v>3</v>
      </c>
    </row>
    <row r="18" customFormat="false" ht="15" hidden="false" customHeight="false" outlineLevel="0" collapsed="false">
      <c r="A18" s="3" t="s">
        <v>445</v>
      </c>
      <c r="B18" s="3"/>
      <c r="C18" s="4" t="n">
        <v>3</v>
      </c>
    </row>
    <row r="19" customFormat="false" ht="15" hidden="false" customHeight="false" outlineLevel="0" collapsed="false">
      <c r="A19" s="3" t="s">
        <v>446</v>
      </c>
      <c r="B19" s="3"/>
      <c r="C19" s="4" t="n">
        <v>6</v>
      </c>
    </row>
    <row r="20" customFormat="false" ht="15" hidden="false" customHeight="false" outlineLevel="0" collapsed="false">
      <c r="A20" s="3" t="s">
        <v>447</v>
      </c>
      <c r="B20" s="3"/>
      <c r="C20" s="4" t="n">
        <v>12</v>
      </c>
    </row>
    <row r="21" customFormat="false" ht="15" hidden="false" customHeight="false" outlineLevel="0" collapsed="false">
      <c r="A21" s="3" t="s">
        <v>448</v>
      </c>
      <c r="B21" s="3"/>
      <c r="C21" s="4" t="n">
        <v>6</v>
      </c>
    </row>
    <row r="22" customFormat="false" ht="15" hidden="false" customHeight="false" outlineLevel="0" collapsed="false">
      <c r="A22" s="3" t="s">
        <v>449</v>
      </c>
      <c r="B22" s="3"/>
      <c r="C22" s="4" t="n">
        <v>30</v>
      </c>
    </row>
    <row r="23" customFormat="false" ht="15" hidden="false" customHeight="false" outlineLevel="0" collapsed="false">
      <c r="A23" s="3" t="s">
        <v>450</v>
      </c>
      <c r="B23" s="3"/>
      <c r="C23" s="4" t="n">
        <v>2</v>
      </c>
    </row>
    <row r="24" customFormat="false" ht="15" hidden="false" customHeight="false" outlineLevel="0" collapsed="false">
      <c r="A24" s="3" t="s">
        <v>451</v>
      </c>
      <c r="B24" s="3"/>
      <c r="C24" s="4" t="n">
        <v>1.5</v>
      </c>
    </row>
    <row r="25" customFormat="false" ht="15" hidden="false" customHeight="false" outlineLevel="0" collapsed="false">
      <c r="A25" s="3" t="s">
        <v>452</v>
      </c>
      <c r="B25" s="3"/>
      <c r="C25" s="4" t="n">
        <v>1</v>
      </c>
    </row>
    <row r="27" customFormat="false" ht="15" hidden="false" customHeight="false" outlineLevel="0" collapsed="false">
      <c r="A27" s="6" t="s">
        <v>10</v>
      </c>
      <c r="B27" s="6" t="s">
        <v>453</v>
      </c>
      <c r="C27" s="6" t="s">
        <v>454</v>
      </c>
      <c r="D27" s="6" t="s">
        <v>455</v>
      </c>
      <c r="E27" s="6" t="s">
        <v>456</v>
      </c>
      <c r="F27" s="6" t="s">
        <v>181</v>
      </c>
    </row>
    <row r="28" customFormat="false" ht="15" hidden="false" customHeight="false" outlineLevel="0" collapsed="false">
      <c r="A28" s="28" t="s">
        <v>457</v>
      </c>
      <c r="B28" s="13" t="s">
        <v>458</v>
      </c>
      <c r="C28" s="22" t="s">
        <v>422</v>
      </c>
      <c r="D28" s="33" t="n">
        <f aca="false">2*(($C$3+2*$C$5)+($C$4+2*$C$5))</f>
        <v>88</v>
      </c>
      <c r="E28" s="13" t="s">
        <v>459</v>
      </c>
      <c r="F28" s="13" t="s">
        <v>460</v>
      </c>
    </row>
    <row r="29" customFormat="false" ht="15" hidden="false" customHeight="false" outlineLevel="0" collapsed="false">
      <c r="A29" s="28" t="s">
        <v>457</v>
      </c>
      <c r="B29" s="13" t="s">
        <v>461</v>
      </c>
      <c r="C29" s="22" t="s">
        <v>422</v>
      </c>
      <c r="D29" s="33" t="n">
        <f aca="false">ROUNDUP(D28*(1+$C$10/100),0)</f>
        <v>97</v>
      </c>
      <c r="E29" s="13" t="s">
        <v>462</v>
      </c>
      <c r="F29" s="13" t="s">
        <v>460</v>
      </c>
    </row>
    <row r="30" customFormat="false" ht="15" hidden="false" customHeight="false" outlineLevel="0" collapsed="false">
      <c r="A30" s="28" t="s">
        <v>463</v>
      </c>
      <c r="B30" s="13" t="s">
        <v>464</v>
      </c>
      <c r="C30" s="22" t="s">
        <v>465</v>
      </c>
      <c r="D30" s="33" t="n">
        <f aca="false">2*(ROUNDUP(($C$3+2*$C$5)/$C$8,0)+ROUNDUP(($C$4+2*$C$5)/$C$8,0))</f>
        <v>12</v>
      </c>
      <c r="E30" s="13" t="s">
        <v>466</v>
      </c>
      <c r="F30" s="13" t="s">
        <v>467</v>
      </c>
    </row>
    <row r="31" customFormat="false" ht="15" hidden="false" customHeight="false" outlineLevel="0" collapsed="false">
      <c r="A31" s="28" t="s">
        <v>463</v>
      </c>
      <c r="B31" s="13" t="s">
        <v>468</v>
      </c>
      <c r="C31" s="22" t="s">
        <v>422</v>
      </c>
      <c r="D31" s="33" t="n">
        <f aca="false">D30*$C$7</f>
        <v>36</v>
      </c>
      <c r="E31" s="13" t="s">
        <v>469</v>
      </c>
      <c r="F31" s="13"/>
    </row>
    <row r="32" customFormat="false" ht="15" hidden="false" customHeight="false" outlineLevel="0" collapsed="false">
      <c r="A32" s="28" t="s">
        <v>463</v>
      </c>
      <c r="B32" s="13" t="s">
        <v>470</v>
      </c>
      <c r="C32" s="22" t="s">
        <v>422</v>
      </c>
      <c r="D32" s="18" t="n">
        <f aca="false">MAX(($C$3+2*$C$5)/ROUNDUP(($C$3+2*$C$5)/$C$8,0),($C$4+2*$C$5)/ROUNDUP(($C$4+2*$C$5)/$C$8,0))</f>
        <v>7.33333333333333</v>
      </c>
      <c r="E32" s="13" t="s">
        <v>471</v>
      </c>
      <c r="F32" s="13" t="s">
        <v>472</v>
      </c>
    </row>
    <row r="33" customFormat="false" ht="15" hidden="false" customHeight="false" outlineLevel="0" collapsed="false">
      <c r="A33" s="28" t="s">
        <v>473</v>
      </c>
      <c r="B33" s="13" t="s">
        <v>474</v>
      </c>
      <c r="C33" s="22" t="s">
        <v>465</v>
      </c>
      <c r="D33" s="33" t="n">
        <f aca="false">$C$15</f>
        <v>4</v>
      </c>
      <c r="E33" s="13" t="s">
        <v>475</v>
      </c>
      <c r="F33" s="13" t="s">
        <v>476</v>
      </c>
    </row>
    <row r="34" customFormat="false" ht="15" hidden="false" customHeight="false" outlineLevel="0" collapsed="false">
      <c r="A34" s="28" t="s">
        <v>477</v>
      </c>
      <c r="B34" s="13" t="s">
        <v>478</v>
      </c>
      <c r="C34" s="22" t="s">
        <v>465</v>
      </c>
      <c r="D34" s="33" t="n">
        <f aca="false">MIN(8,MAX(2,ROUNDUP(2*($C$3+$C$4)/$C$9,0)))</f>
        <v>6</v>
      </c>
      <c r="E34" s="13" t="s">
        <v>479</v>
      </c>
      <c r="F34" s="13" t="s">
        <v>480</v>
      </c>
    </row>
    <row r="35" customFormat="false" ht="15" hidden="false" customHeight="false" outlineLevel="0" collapsed="false">
      <c r="A35" s="28" t="s">
        <v>481</v>
      </c>
      <c r="B35" s="13" t="s">
        <v>482</v>
      </c>
      <c r="C35" s="22" t="s">
        <v>465</v>
      </c>
      <c r="D35" s="33" t="n">
        <f aca="false">D34</f>
        <v>6</v>
      </c>
      <c r="E35" s="13" t="s">
        <v>483</v>
      </c>
      <c r="F35" s="13" t="s">
        <v>484</v>
      </c>
    </row>
    <row r="36" customFormat="false" ht="23.85" hidden="false" customHeight="false" outlineLevel="0" collapsed="false">
      <c r="A36" s="28" t="s">
        <v>477</v>
      </c>
      <c r="B36" s="13" t="s">
        <v>485</v>
      </c>
      <c r="C36" s="22" t="s">
        <v>422</v>
      </c>
      <c r="D36" s="33" t="n">
        <f aca="false">ROUNDUP((D34*($C$11+$C$6)+($C$13-$C$11)+(PI()*$C$14/2+2))*(1+$C$10/100),0)</f>
        <v>101</v>
      </c>
      <c r="E36" s="13" t="s">
        <v>486</v>
      </c>
      <c r="F36" s="13" t="s">
        <v>487</v>
      </c>
    </row>
    <row r="37" customFormat="false" ht="15" hidden="false" customHeight="false" outlineLevel="0" collapsed="false">
      <c r="A37" s="28" t="s">
        <v>488</v>
      </c>
      <c r="B37" s="13" t="s">
        <v>489</v>
      </c>
      <c r="C37" s="22" t="s">
        <v>422</v>
      </c>
      <c r="D37" s="33" t="n">
        <f aca="false">ROUNDUP((2*($C$3+$C$4)+$C$4/2+3)*(1+$C$10/100),0)</f>
        <v>103</v>
      </c>
      <c r="E37" s="13" t="s">
        <v>490</v>
      </c>
      <c r="F37" s="13" t="s">
        <v>491</v>
      </c>
    </row>
    <row r="38" customFormat="false" ht="15" hidden="false" customHeight="false" outlineLevel="0" collapsed="false">
      <c r="A38" s="28" t="s">
        <v>492</v>
      </c>
      <c r="B38" s="13" t="s">
        <v>493</v>
      </c>
      <c r="C38" s="22" t="s">
        <v>465</v>
      </c>
      <c r="D38" s="33" t="n">
        <f aca="false">3</f>
        <v>3</v>
      </c>
      <c r="E38" s="13" t="s">
        <v>494</v>
      </c>
      <c r="F38" s="13" t="s">
        <v>495</v>
      </c>
    </row>
    <row r="39" customFormat="false" ht="15" hidden="false" customHeight="false" outlineLevel="0" collapsed="false">
      <c r="A39" s="28" t="s">
        <v>492</v>
      </c>
      <c r="B39" s="13" t="s">
        <v>496</v>
      </c>
      <c r="C39" s="22" t="s">
        <v>422</v>
      </c>
      <c r="D39" s="20" t="n">
        <f aca="false">$C$23+$C$24+$C$25</f>
        <v>4.5</v>
      </c>
      <c r="E39" s="13" t="s">
        <v>497</v>
      </c>
      <c r="F39" s="13"/>
    </row>
    <row r="40" customFormat="false" ht="15" hidden="false" customHeight="false" outlineLevel="0" collapsed="false">
      <c r="A40" s="28" t="s">
        <v>498</v>
      </c>
      <c r="B40" s="13" t="s">
        <v>499</v>
      </c>
      <c r="C40" s="22" t="s">
        <v>465</v>
      </c>
      <c r="D40" s="33" t="n">
        <f aca="false">1</f>
        <v>1</v>
      </c>
      <c r="E40" s="13" t="s">
        <v>500</v>
      </c>
      <c r="F40" s="13" t="s">
        <v>501</v>
      </c>
    </row>
    <row r="41" customFormat="false" ht="15" hidden="false" customHeight="false" outlineLevel="0" collapsed="false">
      <c r="A41" s="28" t="s">
        <v>502</v>
      </c>
      <c r="B41" s="13" t="s">
        <v>503</v>
      </c>
      <c r="C41" s="22" t="s">
        <v>422</v>
      </c>
      <c r="D41" s="33" t="n">
        <f aca="false">ROUNDUP($C$16*(1+$C$10/100),0)</f>
        <v>3</v>
      </c>
      <c r="E41" s="13" t="s">
        <v>504</v>
      </c>
      <c r="F41" s="13" t="s">
        <v>487</v>
      </c>
    </row>
    <row r="42" customFormat="false" ht="15" hidden="false" customHeight="false" outlineLevel="0" collapsed="false">
      <c r="A42" s="28" t="s">
        <v>505</v>
      </c>
      <c r="B42" s="13" t="s">
        <v>506</v>
      </c>
      <c r="C42" s="22" t="s">
        <v>422</v>
      </c>
      <c r="D42" s="33" t="n">
        <f aca="false">ROUNDUP($C$17*(1+$C$10/100),0)</f>
        <v>4</v>
      </c>
      <c r="E42" s="13" t="s">
        <v>504</v>
      </c>
      <c r="F42" s="13" t="s">
        <v>487</v>
      </c>
    </row>
    <row r="43" customFormat="false" ht="15" hidden="false" customHeight="false" outlineLevel="0" collapsed="false">
      <c r="A43" s="28" t="s">
        <v>332</v>
      </c>
      <c r="B43" s="13" t="s">
        <v>507</v>
      </c>
      <c r="C43" s="22" t="s">
        <v>422</v>
      </c>
      <c r="D43" s="33" t="n">
        <f aca="false">ROUNDUP($C$22*(1+$C$10/100),0)</f>
        <v>33</v>
      </c>
      <c r="E43" s="13" t="s">
        <v>508</v>
      </c>
      <c r="F43" s="13" t="s">
        <v>509</v>
      </c>
    </row>
    <row r="44" customFormat="false" ht="15" hidden="false" customHeight="false" outlineLevel="0" collapsed="false">
      <c r="A44" s="28" t="s">
        <v>510</v>
      </c>
      <c r="B44" s="13" t="s">
        <v>511</v>
      </c>
      <c r="C44" s="22" t="s">
        <v>465</v>
      </c>
      <c r="D44" s="33" t="n">
        <f aca="false">$C$18</f>
        <v>3</v>
      </c>
      <c r="E44" s="13" t="s">
        <v>475</v>
      </c>
      <c r="F44" s="13" t="s">
        <v>512</v>
      </c>
    </row>
    <row r="45" customFormat="false" ht="15" hidden="false" customHeight="false" outlineLevel="0" collapsed="false">
      <c r="A45" s="28" t="s">
        <v>510</v>
      </c>
      <c r="B45" s="13" t="s">
        <v>513</v>
      </c>
      <c r="C45" s="22" t="s">
        <v>422</v>
      </c>
      <c r="D45" s="33" t="n">
        <f aca="false">($C$18-1)*$C$19+6</f>
        <v>18</v>
      </c>
      <c r="E45" s="13" t="s">
        <v>514</v>
      </c>
      <c r="F45" s="13" t="s">
        <v>515</v>
      </c>
    </row>
    <row r="46" customFormat="false" ht="15" hidden="false" customHeight="false" outlineLevel="0" collapsed="false">
      <c r="A46" s="28" t="s">
        <v>516</v>
      </c>
      <c r="B46" s="13" t="s">
        <v>517</v>
      </c>
      <c r="C46" s="22" t="s">
        <v>422</v>
      </c>
      <c r="D46" s="33" t="n">
        <f aca="false">ROUNDUP($C$21*$C$20*(1+$C$10/100),0)</f>
        <v>80</v>
      </c>
      <c r="E46" s="13" t="s">
        <v>518</v>
      </c>
      <c r="F46" s="13" t="s">
        <v>519</v>
      </c>
    </row>
    <row r="47" customFormat="false" ht="15" hidden="false" customHeight="false" outlineLevel="0" collapsed="false">
      <c r="A47" s="28" t="s">
        <v>516</v>
      </c>
      <c r="B47" s="13" t="s">
        <v>520</v>
      </c>
      <c r="C47" s="22" t="s">
        <v>465</v>
      </c>
      <c r="D47" s="33" t="n">
        <f aca="false">$C$21</f>
        <v>6</v>
      </c>
      <c r="E47" s="13" t="s">
        <v>521</v>
      </c>
      <c r="F47" s="13" t="s">
        <v>522</v>
      </c>
    </row>
    <row r="48" customFormat="false" ht="15" hidden="false" customHeight="false" outlineLevel="0" collapsed="false">
      <c r="A48" s="28" t="s">
        <v>523</v>
      </c>
      <c r="B48" s="13" t="s">
        <v>524</v>
      </c>
      <c r="C48" s="22" t="s">
        <v>465</v>
      </c>
      <c r="D48" s="33" t="n">
        <f aca="false">1</f>
        <v>1</v>
      </c>
      <c r="E48" s="13" t="s">
        <v>525</v>
      </c>
      <c r="F48" s="13" t="s">
        <v>526</v>
      </c>
    </row>
    <row r="49" customFormat="false" ht="15" hidden="false" customHeight="false" outlineLevel="0" collapsed="false">
      <c r="A49" s="28" t="s">
        <v>527</v>
      </c>
      <c r="B49" s="13" t="s">
        <v>528</v>
      </c>
      <c r="C49" s="22" t="s">
        <v>465</v>
      </c>
      <c r="D49" s="33" t="n">
        <f aca="false">D30+D34+2+1+$C$21</f>
        <v>27</v>
      </c>
      <c r="E49" s="13" t="s">
        <v>529</v>
      </c>
      <c r="F49" s="13" t="s">
        <v>530</v>
      </c>
    </row>
    <row r="50" customFormat="false" ht="15" hidden="false" customHeight="false" outlineLevel="0" collapsed="false">
      <c r="A50" s="28" t="s">
        <v>527</v>
      </c>
      <c r="B50" s="13" t="s">
        <v>531</v>
      </c>
      <c r="C50" s="22" t="s">
        <v>465</v>
      </c>
      <c r="D50" s="33" t="n">
        <f aca="false">3</f>
        <v>3</v>
      </c>
      <c r="E50" s="13" t="s">
        <v>532</v>
      </c>
      <c r="F50" s="13" t="s">
        <v>533</v>
      </c>
    </row>
    <row r="51" customFormat="false" ht="15" hidden="false" customHeight="false" outlineLevel="0" collapsed="false">
      <c r="A51" s="28" t="s">
        <v>67</v>
      </c>
      <c r="B51" s="13" t="s">
        <v>534</v>
      </c>
      <c r="C51" s="22" t="s">
        <v>465</v>
      </c>
      <c r="D51" s="33" t="n">
        <f aca="false">ROUNDUP(D49/10,0)</f>
        <v>3</v>
      </c>
      <c r="E51" s="13" t="s">
        <v>535</v>
      </c>
      <c r="F51" s="13"/>
    </row>
  </sheetData>
  <mergeCells count="23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" t="s">
        <v>536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537</v>
      </c>
      <c r="B3" s="3"/>
      <c r="C3" s="3"/>
      <c r="D3" s="4" t="n">
        <v>250</v>
      </c>
    </row>
    <row r="4" customFormat="false" ht="15" hidden="false" customHeight="false" outlineLevel="0" collapsed="false">
      <c r="A4" s="3" t="s">
        <v>4</v>
      </c>
      <c r="B4" s="3"/>
      <c r="C4" s="3"/>
      <c r="D4" s="4" t="n">
        <v>400</v>
      </c>
    </row>
    <row r="5" customFormat="false" ht="15" hidden="false" customHeight="false" outlineLevel="0" collapsed="false">
      <c r="A5" s="3" t="s">
        <v>538</v>
      </c>
      <c r="B5" s="3"/>
      <c r="C5" s="3"/>
      <c r="D5" s="4" t="n">
        <v>4</v>
      </c>
    </row>
    <row r="6" customFormat="false" ht="15" hidden="false" customHeight="false" outlineLevel="0" collapsed="false">
      <c r="A6" s="3" t="s">
        <v>539</v>
      </c>
      <c r="B6" s="3"/>
      <c r="C6" s="3"/>
      <c r="D6" s="4" t="n">
        <v>1.3</v>
      </c>
    </row>
    <row r="7" customFormat="false" ht="15" hidden="false" customHeight="false" outlineLevel="0" collapsed="false">
      <c r="A7" s="3" t="s">
        <v>540</v>
      </c>
      <c r="B7" s="3"/>
      <c r="C7" s="3"/>
      <c r="D7" s="4" t="n">
        <v>30</v>
      </c>
    </row>
    <row r="8" customFormat="false" ht="15" hidden="false" customHeight="false" outlineLevel="0" collapsed="false">
      <c r="A8" s="3" t="s">
        <v>541</v>
      </c>
      <c r="B8" s="3"/>
      <c r="C8" s="3"/>
      <c r="D8" s="4" t="n">
        <v>95</v>
      </c>
    </row>
    <row r="9" customFormat="false" ht="15" hidden="false" customHeight="false" outlineLevel="0" collapsed="false">
      <c r="A9" s="3" t="s">
        <v>112</v>
      </c>
      <c r="B9" s="3"/>
      <c r="C9" s="3"/>
      <c r="D9" s="4" t="n">
        <v>0.08</v>
      </c>
    </row>
    <row r="10" customFormat="false" ht="15" hidden="false" customHeight="false" outlineLevel="0" collapsed="false">
      <c r="A10" s="3" t="s">
        <v>542</v>
      </c>
      <c r="B10" s="3"/>
      <c r="C10" s="3"/>
      <c r="D10" s="4" t="n">
        <v>36</v>
      </c>
    </row>
    <row r="11" customFormat="false" ht="15" hidden="false" customHeight="false" outlineLevel="0" collapsed="false">
      <c r="A11" s="3" t="s">
        <v>543</v>
      </c>
      <c r="B11" s="3"/>
      <c r="C11" s="3"/>
      <c r="D11" s="4" t="n">
        <v>10</v>
      </c>
    </row>
    <row r="12" customFormat="false" ht="15" hidden="false" customHeight="false" outlineLevel="0" collapsed="false">
      <c r="A12" s="3" t="s">
        <v>6</v>
      </c>
      <c r="B12" s="3"/>
      <c r="C12" s="3"/>
      <c r="D12" s="4" t="n">
        <v>160</v>
      </c>
    </row>
    <row r="13" customFormat="false" ht="15" hidden="false" customHeight="false" outlineLevel="0" collapsed="false">
      <c r="A13" s="3" t="s">
        <v>544</v>
      </c>
      <c r="B13" s="3"/>
      <c r="C13" s="3"/>
      <c r="D13" s="4" t="n">
        <v>6</v>
      </c>
    </row>
    <row r="14" customFormat="false" ht="15" hidden="false" customHeight="false" outlineLevel="0" collapsed="false">
      <c r="A14" s="3" t="s">
        <v>545</v>
      </c>
      <c r="B14" s="3"/>
      <c r="C14" s="3"/>
      <c r="D14" s="4" t="n">
        <v>100</v>
      </c>
    </row>
    <row r="15" customFormat="false" ht="15" hidden="false" customHeight="false" outlineLevel="0" collapsed="false">
      <c r="A15" s="3" t="s">
        <v>546</v>
      </c>
      <c r="B15" s="3"/>
      <c r="C15" s="3"/>
      <c r="D15" s="4" t="n">
        <v>1000</v>
      </c>
    </row>
    <row r="16" customFormat="false" ht="15" hidden="false" customHeight="false" outlineLevel="0" collapsed="false">
      <c r="A16" s="3" t="s">
        <v>547</v>
      </c>
      <c r="B16" s="3"/>
      <c r="C16" s="3"/>
      <c r="D16" s="4" t="n">
        <v>300</v>
      </c>
    </row>
    <row r="17" customFormat="false" ht="15" hidden="false" customHeight="false" outlineLevel="0" collapsed="false">
      <c r="A17" s="3" t="s">
        <v>548</v>
      </c>
      <c r="B17" s="3"/>
      <c r="C17" s="3"/>
      <c r="D17" s="4" t="n">
        <v>3</v>
      </c>
    </row>
    <row r="18" customFormat="false" ht="15" hidden="false" customHeight="false" outlineLevel="0" collapsed="false">
      <c r="A18" s="3" t="s">
        <v>549</v>
      </c>
      <c r="B18" s="3"/>
      <c r="C18" s="3"/>
      <c r="D18" s="4" t="n">
        <v>50</v>
      </c>
    </row>
    <row r="19" customFormat="false" ht="15" hidden="false" customHeight="false" outlineLevel="0" collapsed="false">
      <c r="A19" s="3" t="s">
        <v>550</v>
      </c>
      <c r="B19" s="3"/>
      <c r="C19" s="3"/>
      <c r="D19" s="4" t="n">
        <v>10</v>
      </c>
    </row>
    <row r="20" customFormat="false" ht="15" hidden="false" customHeight="false" outlineLevel="0" collapsed="false">
      <c r="A20" s="3" t="s">
        <v>551</v>
      </c>
      <c r="B20" s="3"/>
      <c r="C20" s="3"/>
      <c r="D20" s="4" t="n">
        <v>25</v>
      </c>
    </row>
    <row r="22" customFormat="false" ht="15" hidden="false" customHeight="false" outlineLevel="0" collapsed="false">
      <c r="A22" s="14" t="s">
        <v>552</v>
      </c>
      <c r="B22" s="14"/>
      <c r="C22" s="14"/>
      <c r="D22" s="14"/>
      <c r="E22" s="14"/>
      <c r="F22" s="14"/>
      <c r="G22" s="14"/>
      <c r="H22" s="14"/>
      <c r="I22" s="14"/>
      <c r="J22" s="14"/>
    </row>
    <row r="23" customFormat="false" ht="15" hidden="false" customHeight="false" outlineLevel="0" collapsed="false">
      <c r="A23" s="3" t="s">
        <v>553</v>
      </c>
      <c r="B23" s="3"/>
      <c r="C23" s="3"/>
      <c r="D23" s="20" t="n">
        <f aca="false">$D$3*1000/(SQRT(3)*$D$4)</f>
        <v>360.843918243516</v>
      </c>
      <c r="E23" s="8" t="s">
        <v>554</v>
      </c>
    </row>
    <row r="24" customFormat="false" ht="15" hidden="false" customHeight="false" outlineLevel="0" collapsed="false">
      <c r="A24" s="3" t="s">
        <v>555</v>
      </c>
      <c r="B24" s="3"/>
      <c r="C24" s="3"/>
      <c r="D24" s="18" t="n">
        <f aca="false">$D$23/($D$5/100)/1000</f>
        <v>9.0210979560879</v>
      </c>
      <c r="E24" s="8" t="s">
        <v>556</v>
      </c>
    </row>
    <row r="25" customFormat="false" ht="15" hidden="false" customHeight="false" outlineLevel="0" collapsed="false">
      <c r="A25" s="3" t="s">
        <v>557</v>
      </c>
      <c r="B25" s="3"/>
      <c r="C25" s="3"/>
      <c r="D25" s="34" t="n">
        <f aca="false">$D$5/100*$D$4^2/($D$3*1000)</f>
        <v>0.0256</v>
      </c>
      <c r="E25" s="8" t="s">
        <v>558</v>
      </c>
    </row>
    <row r="26" customFormat="false" ht="15" hidden="false" customHeight="false" outlineLevel="0" collapsed="false">
      <c r="A26" s="3" t="s">
        <v>559</v>
      </c>
      <c r="B26" s="3"/>
      <c r="C26" s="3"/>
      <c r="D26" s="34" t="n">
        <f aca="false">$D$6/100*$D$4^2/($D$3*1000)</f>
        <v>0.00832</v>
      </c>
      <c r="E26" s="8" t="s">
        <v>558</v>
      </c>
    </row>
    <row r="27" customFormat="false" ht="15" hidden="false" customHeight="false" outlineLevel="0" collapsed="false">
      <c r="A27" s="3" t="s">
        <v>560</v>
      </c>
      <c r="B27" s="3"/>
      <c r="C27" s="3"/>
      <c r="D27" s="34" t="n">
        <f aca="false">SQRT($D$25^2-$D$26^2)</f>
        <v>0.0242102788088035</v>
      </c>
      <c r="E27" s="8" t="s">
        <v>558</v>
      </c>
    </row>
    <row r="28" customFormat="false" ht="15" hidden="false" customHeight="false" outlineLevel="0" collapsed="false">
      <c r="A28" s="3" t="s">
        <v>561</v>
      </c>
      <c r="B28" s="3"/>
      <c r="C28" s="3"/>
      <c r="D28" s="34" t="n">
        <f aca="false">$D$7/(56*$D$8)</f>
        <v>0.0056390977443609</v>
      </c>
      <c r="E28" s="8" t="s">
        <v>558</v>
      </c>
    </row>
    <row r="29" customFormat="false" ht="15" hidden="false" customHeight="false" outlineLevel="0" collapsed="false">
      <c r="A29" s="3" t="s">
        <v>562</v>
      </c>
      <c r="B29" s="3"/>
      <c r="C29" s="3"/>
      <c r="D29" s="34" t="n">
        <f aca="false">$D$9/1000*$D$7</f>
        <v>0.0024</v>
      </c>
      <c r="E29" s="8" t="s">
        <v>558</v>
      </c>
    </row>
    <row r="30" customFormat="false" ht="15" hidden="false" customHeight="false" outlineLevel="0" collapsed="false">
      <c r="A30" s="3" t="s">
        <v>563</v>
      </c>
      <c r="B30" s="3"/>
      <c r="C30" s="3"/>
      <c r="D30" s="34" t="n">
        <f aca="false">SQRT(($D$26+$D$28)^2+($D$27+$D$29)^2)</f>
        <v>0.0300493485473292</v>
      </c>
      <c r="E30" s="8" t="s">
        <v>558</v>
      </c>
    </row>
    <row r="31" customFormat="false" ht="15" hidden="false" customHeight="false" outlineLevel="0" collapsed="false">
      <c r="A31" s="3" t="s">
        <v>564</v>
      </c>
      <c r="B31" s="3"/>
      <c r="C31" s="3"/>
      <c r="D31" s="18" t="n">
        <f aca="false">$D$4/(SQRT(3)*$D$30)/1000</f>
        <v>7.68536154160241</v>
      </c>
      <c r="E31" s="8" t="s">
        <v>556</v>
      </c>
    </row>
    <row r="33" customFormat="false" ht="15" hidden="false" customHeight="false" outlineLevel="0" collapsed="false">
      <c r="A33" s="14" t="s">
        <v>565</v>
      </c>
      <c r="B33" s="14"/>
      <c r="C33" s="14"/>
      <c r="D33" s="14"/>
      <c r="E33" s="14"/>
      <c r="F33" s="14"/>
      <c r="G33" s="14"/>
      <c r="H33" s="14"/>
      <c r="I33" s="14"/>
      <c r="J33" s="14"/>
    </row>
    <row r="34" customFormat="false" ht="30" hidden="false" customHeight="true" outlineLevel="0" collapsed="false">
      <c r="A34" s="7" t="s">
        <v>566</v>
      </c>
      <c r="B34" s="7" t="s">
        <v>10</v>
      </c>
      <c r="C34" s="7" t="s">
        <v>567</v>
      </c>
      <c r="D34" s="7" t="s">
        <v>568</v>
      </c>
      <c r="E34" s="7" t="s">
        <v>569</v>
      </c>
      <c r="F34" s="7" t="s">
        <v>570</v>
      </c>
      <c r="G34" s="7" t="s">
        <v>571</v>
      </c>
      <c r="H34" s="7" t="s">
        <v>572</v>
      </c>
      <c r="I34" s="7" t="s">
        <v>573</v>
      </c>
      <c r="J34" s="7" t="s">
        <v>403</v>
      </c>
    </row>
    <row r="35" customFormat="false" ht="15" hidden="false" customHeight="false" outlineLevel="0" collapsed="false">
      <c r="A35" s="22" t="s">
        <v>574</v>
      </c>
      <c r="B35" s="28" t="s">
        <v>139</v>
      </c>
      <c r="C35" s="13" t="s">
        <v>575</v>
      </c>
      <c r="D35" s="22" t="n">
        <f aca="false">$D$12</f>
        <v>160</v>
      </c>
      <c r="E35" s="22" t="s">
        <v>67</v>
      </c>
      <c r="F35" s="22" t="n">
        <f aca="false">$D$14</f>
        <v>100</v>
      </c>
      <c r="G35" s="22" t="n">
        <f aca="false">$D$10</f>
        <v>36</v>
      </c>
      <c r="H35" s="11" t="n">
        <f aca="false">$D$31</f>
        <v>7.68536154160241</v>
      </c>
      <c r="I35" s="24" t="str">
        <f aca="false">IF(G35&gt;=H35,"UYGUN","UYGUN DEĞİL")</f>
        <v>UYGUN</v>
      </c>
      <c r="J35" s="13" t="s">
        <v>576</v>
      </c>
    </row>
    <row r="36" customFormat="false" ht="15" hidden="false" customHeight="false" outlineLevel="0" collapsed="false">
      <c r="A36" s="22" t="s">
        <v>577</v>
      </c>
      <c r="B36" s="28" t="s">
        <v>196</v>
      </c>
      <c r="C36" s="13" t="s">
        <v>578</v>
      </c>
      <c r="D36" s="22" t="s">
        <v>67</v>
      </c>
      <c r="E36" s="22" t="n">
        <f aca="false">$D$15</f>
        <v>1000</v>
      </c>
      <c r="F36" s="22" t="n">
        <f aca="false">$D$16</f>
        <v>300</v>
      </c>
      <c r="G36" s="22" t="n">
        <f aca="false">$D$10</f>
        <v>36</v>
      </c>
      <c r="H36" s="11" t="n">
        <f aca="false">$D$31</f>
        <v>7.68536154160241</v>
      </c>
      <c r="I36" s="24" t="str">
        <f aca="false">IF(G36&gt;=H36,"UYGUN","UYGUN DEĞİL")</f>
        <v>UYGUN</v>
      </c>
      <c r="J36" s="13" t="s">
        <v>579</v>
      </c>
    </row>
    <row r="37" customFormat="false" ht="15" hidden="false" customHeight="false" outlineLevel="0" collapsed="false">
      <c r="A37" s="22" t="s">
        <v>580</v>
      </c>
      <c r="B37" s="28" t="s">
        <v>270</v>
      </c>
      <c r="C37" s="13" t="s">
        <v>581</v>
      </c>
      <c r="D37" s="22" t="n">
        <v>63</v>
      </c>
      <c r="E37" s="22" t="s">
        <v>67</v>
      </c>
      <c r="F37" s="22" t="n">
        <f aca="false">$D$19</f>
        <v>10</v>
      </c>
      <c r="G37" s="22" t="n">
        <v>10</v>
      </c>
      <c r="H37" s="11" t="n">
        <f aca="false">$D$31</f>
        <v>7.68536154160241</v>
      </c>
      <c r="I37" s="24" t="str">
        <f aca="false">IF(G37&gt;=H37,"UYGUN","UYGUN DEĞİL")</f>
        <v>UYGUN</v>
      </c>
      <c r="J37" s="13" t="s">
        <v>582</v>
      </c>
    </row>
    <row r="38" customFormat="false" ht="15" hidden="false" customHeight="false" outlineLevel="0" collapsed="false">
      <c r="A38" s="22" t="s">
        <v>580</v>
      </c>
      <c r="B38" s="28" t="s">
        <v>237</v>
      </c>
      <c r="C38" s="13" t="s">
        <v>583</v>
      </c>
      <c r="D38" s="22" t="n">
        <v>25</v>
      </c>
      <c r="E38" s="22" t="s">
        <v>67</v>
      </c>
      <c r="F38" s="22" t="n">
        <f aca="false">$D$19</f>
        <v>10</v>
      </c>
      <c r="G38" s="22" t="n">
        <v>10</v>
      </c>
      <c r="H38" s="11" t="n">
        <f aca="false">$D$31</f>
        <v>7.68536154160241</v>
      </c>
      <c r="I38" s="24" t="str">
        <f aca="false">IF(G38&gt;=H38,"UYGUN","UYGUN DEĞİL")</f>
        <v>UYGUN</v>
      </c>
      <c r="J38" s="13" t="s">
        <v>584</v>
      </c>
    </row>
    <row r="39" customFormat="false" ht="15" hidden="false" customHeight="false" outlineLevel="0" collapsed="false">
      <c r="A39" s="22" t="s">
        <v>580</v>
      </c>
      <c r="B39" s="28" t="s">
        <v>240</v>
      </c>
      <c r="C39" s="13" t="s">
        <v>585</v>
      </c>
      <c r="D39" s="22" t="n">
        <v>25</v>
      </c>
      <c r="E39" s="22" t="s">
        <v>67</v>
      </c>
      <c r="F39" s="22" t="s">
        <v>67</v>
      </c>
      <c r="G39" s="22" t="n">
        <v>10</v>
      </c>
      <c r="H39" s="11" t="n">
        <f aca="false">$D$31</f>
        <v>7.68536154160241</v>
      </c>
      <c r="I39" s="24" t="str">
        <f aca="false">IF(G39&gt;=H39,"UYGUN","UYGUN DEĞİL")</f>
        <v>UYGUN</v>
      </c>
      <c r="J39" s="13" t="s">
        <v>586</v>
      </c>
    </row>
    <row r="40" customFormat="false" ht="15" hidden="false" customHeight="false" outlineLevel="0" collapsed="false">
      <c r="A40" s="22" t="s">
        <v>580</v>
      </c>
      <c r="B40" s="28" t="s">
        <v>273</v>
      </c>
      <c r="C40" s="13" t="s">
        <v>587</v>
      </c>
      <c r="D40" s="22" t="n">
        <v>63</v>
      </c>
      <c r="E40" s="22" t="n">
        <v>300</v>
      </c>
      <c r="F40" s="22" t="n">
        <v>40</v>
      </c>
      <c r="G40" s="22" t="n">
        <v>10</v>
      </c>
      <c r="H40" s="11" t="n">
        <f aca="false">$D$31</f>
        <v>7.68536154160241</v>
      </c>
      <c r="I40" s="24" t="str">
        <f aca="false">IF(G40&gt;=H40,"UYGUN","UYGUN DEĞİL")</f>
        <v>UYGUN</v>
      </c>
      <c r="J40" s="13" t="s">
        <v>588</v>
      </c>
    </row>
    <row r="41" customFormat="false" ht="15" hidden="false" customHeight="false" outlineLevel="0" collapsed="false">
      <c r="A41" s="22" t="s">
        <v>589</v>
      </c>
      <c r="B41" s="28" t="s">
        <v>276</v>
      </c>
      <c r="C41" s="13" t="s">
        <v>590</v>
      </c>
      <c r="D41" s="22" t="n">
        <v>14</v>
      </c>
      <c r="E41" s="22" t="s">
        <v>67</v>
      </c>
      <c r="F41" s="22" t="n">
        <f aca="false">$D$19</f>
        <v>10</v>
      </c>
      <c r="G41" s="22" t="n">
        <v>50</v>
      </c>
      <c r="H41" s="11" t="n">
        <f aca="false">$D$31</f>
        <v>7.68536154160241</v>
      </c>
      <c r="I41" s="24" t="str">
        <f aca="false">IF(G41&gt;=H41,"UYGUN","UYGUN DEĞİL")</f>
        <v>UYGUN</v>
      </c>
      <c r="J41" s="13"/>
    </row>
    <row r="42" customFormat="false" ht="35.05" hidden="false" customHeight="false" outlineLevel="0" collapsed="false">
      <c r="A42" s="22" t="s">
        <v>589</v>
      </c>
      <c r="B42" s="28" t="s">
        <v>591</v>
      </c>
      <c r="C42" s="13" t="s">
        <v>592</v>
      </c>
      <c r="D42" s="22" t="s">
        <v>593</v>
      </c>
      <c r="E42" s="22" t="n">
        <v>30</v>
      </c>
      <c r="F42" s="22" t="n">
        <v>40</v>
      </c>
      <c r="G42" s="22" t="n">
        <v>10</v>
      </c>
      <c r="H42" s="11" t="n">
        <f aca="false">$D$31</f>
        <v>7.68536154160241</v>
      </c>
      <c r="I42" s="24" t="str">
        <f aca="false">IF(G42&gt;=H42,"UYGUN","UYGUN DEĞİL")</f>
        <v>UYGUN</v>
      </c>
      <c r="J42" s="13" t="s">
        <v>594</v>
      </c>
    </row>
    <row r="43" customFormat="false" ht="15" hidden="false" customHeight="false" outlineLevel="0" collapsed="false">
      <c r="B43" s="3" t="s">
        <v>595</v>
      </c>
      <c r="C43" s="8" t="s">
        <v>596</v>
      </c>
      <c r="G43" s="8" t="n">
        <f aca="false">$D$10</f>
        <v>36</v>
      </c>
      <c r="H43" s="8" t="n">
        <f aca="false">$D$20</f>
        <v>25</v>
      </c>
      <c r="I43" s="24" t="str">
        <f aca="false">IF(G43&gt;=H43,"UYGUN","UYGUN DEĞİL")</f>
        <v>UYGUN</v>
      </c>
    </row>
    <row r="45" customFormat="false" ht="15" hidden="false" customHeight="false" outlineLevel="0" collapsed="false">
      <c r="A45" s="14" t="s">
        <v>597</v>
      </c>
      <c r="B45" s="14"/>
      <c r="C45" s="14"/>
      <c r="D45" s="14"/>
      <c r="E45" s="14"/>
      <c r="F45" s="14"/>
      <c r="G45" s="14"/>
      <c r="H45" s="14"/>
      <c r="I45" s="14"/>
      <c r="J45" s="14"/>
    </row>
    <row r="46" customFormat="false" ht="30" hidden="false" customHeight="true" outlineLevel="0" collapsed="false">
      <c r="A46" s="7" t="s">
        <v>598</v>
      </c>
      <c r="B46" s="7" t="s">
        <v>599</v>
      </c>
      <c r="C46" s="7" t="s">
        <v>600</v>
      </c>
      <c r="D46" s="7" t="s">
        <v>601</v>
      </c>
      <c r="E46" s="7" t="s">
        <v>602</v>
      </c>
      <c r="F46" s="7" t="s">
        <v>603</v>
      </c>
      <c r="G46" s="7" t="s">
        <v>604</v>
      </c>
      <c r="H46" s="7" t="s">
        <v>605</v>
      </c>
      <c r="I46" s="7" t="s">
        <v>606</v>
      </c>
      <c r="J46" s="7" t="s">
        <v>607</v>
      </c>
    </row>
    <row r="47" customFormat="false" ht="15" hidden="false" customHeight="false" outlineLevel="0" collapsed="false">
      <c r="A47" s="3" t="s">
        <v>196</v>
      </c>
      <c r="B47" s="13" t="s">
        <v>608</v>
      </c>
      <c r="C47" s="8" t="n">
        <f aca="false">$D$15</f>
        <v>1000</v>
      </c>
      <c r="D47" s="8" t="n">
        <v>300</v>
      </c>
      <c r="E47" s="12" t="n">
        <f aca="false">C47/D47</f>
        <v>3.33333333333333</v>
      </c>
      <c r="F47" s="22" t="str">
        <f aca="false">IF(E47&gt;=$D$17,"UYGUN","UYGUN DEĞİL")</f>
        <v>UYGUN</v>
      </c>
      <c r="G47" s="8" t="n">
        <f aca="false">$D$16</f>
        <v>300</v>
      </c>
      <c r="H47" s="8" t="n">
        <v>40</v>
      </c>
      <c r="I47" s="22" t="str">
        <f aca="false">IF(G47&gt;=H47+$D$18,"UYGUN","UYGUN DEĞİL")</f>
        <v>UYGUN</v>
      </c>
      <c r="J47" s="24" t="str">
        <f aca="false">IF(AND(F47="UYGUN",I47="UYGUN"),"SEÇİCİ","SEÇİCİ DEĞİL")</f>
        <v>SEÇİCİ</v>
      </c>
    </row>
    <row r="48" customFormat="false" ht="23.85" hidden="false" customHeight="false" outlineLevel="0" collapsed="false">
      <c r="A48" s="3" t="s">
        <v>196</v>
      </c>
      <c r="B48" s="13" t="s">
        <v>609</v>
      </c>
      <c r="C48" s="8" t="n">
        <f aca="false">$D$15</f>
        <v>1000</v>
      </c>
      <c r="D48" s="8" t="n">
        <v>30</v>
      </c>
      <c r="E48" s="12" t="n">
        <f aca="false">C48/D48</f>
        <v>33.3333333333333</v>
      </c>
      <c r="F48" s="22" t="str">
        <f aca="false">IF(E48&gt;=$D$17,"UYGUN","UYGUN DEĞİL")</f>
        <v>UYGUN</v>
      </c>
      <c r="G48" s="8" t="n">
        <f aca="false">$D$16</f>
        <v>300</v>
      </c>
      <c r="H48" s="8" t="n">
        <v>40</v>
      </c>
      <c r="I48" s="22" t="str">
        <f aca="false">IF(G48&gt;=H48+$D$18,"UYGUN","UYGUN DEĞİL")</f>
        <v>UYGUN</v>
      </c>
      <c r="J48" s="24" t="str">
        <f aca="false">IF(AND(F48="UYGUN",I48="UYGUN"),"SEÇİCİ","SEÇİCİ DEĞİL")</f>
        <v>SEÇİCİ</v>
      </c>
    </row>
    <row r="50" customFormat="false" ht="15" hidden="false" customHeight="false" outlineLevel="0" collapsed="false">
      <c r="A50" s="14" t="s">
        <v>610</v>
      </c>
      <c r="B50" s="14"/>
      <c r="C50" s="14"/>
      <c r="D50" s="14"/>
      <c r="E50" s="14"/>
      <c r="F50" s="14"/>
      <c r="G50" s="14"/>
      <c r="H50" s="14"/>
      <c r="I50" s="14"/>
      <c r="J50" s="14"/>
    </row>
    <row r="51" customFormat="false" ht="15" hidden="false" customHeight="false" outlineLevel="0" collapsed="false">
      <c r="A51" s="6" t="s">
        <v>611</v>
      </c>
      <c r="B51" s="6"/>
      <c r="C51" s="6"/>
      <c r="D51" s="6" t="s">
        <v>612</v>
      </c>
      <c r="E51" s="6" t="s">
        <v>454</v>
      </c>
      <c r="F51" s="6" t="s">
        <v>613</v>
      </c>
      <c r="G51" s="6"/>
      <c r="H51" s="6"/>
      <c r="I51" s="6"/>
      <c r="J51" s="6" t="s">
        <v>403</v>
      </c>
    </row>
    <row r="52" customFormat="false" ht="15" hidden="false" customHeight="false" outlineLevel="0" collapsed="false">
      <c r="A52" s="3" t="s">
        <v>614</v>
      </c>
      <c r="B52" s="3"/>
      <c r="C52" s="3"/>
      <c r="D52" s="18" t="n">
        <f aca="false">$D$12*$D$13</f>
        <v>960</v>
      </c>
      <c r="E52" s="8" t="s">
        <v>554</v>
      </c>
      <c r="J52" s="13" t="s">
        <v>615</v>
      </c>
    </row>
    <row r="53" customFormat="false" ht="15" hidden="false" customHeight="false" outlineLevel="0" collapsed="false">
      <c r="A53" s="3" t="s">
        <v>616</v>
      </c>
      <c r="B53" s="3"/>
      <c r="C53" s="3"/>
      <c r="D53" s="18" t="n">
        <f aca="false">$D$14</f>
        <v>100</v>
      </c>
      <c r="E53" s="8" t="s">
        <v>617</v>
      </c>
      <c r="F53" s="24" t="str">
        <f aca="false">IF(D53&gt;=$D$19+$D$18,"UYGUN","UYGUN DEĞİL")</f>
        <v>UYGUN</v>
      </c>
      <c r="J53" s="13" t="s">
        <v>618</v>
      </c>
    </row>
    <row r="54" customFormat="false" ht="15" hidden="false" customHeight="false" outlineLevel="0" collapsed="false">
      <c r="A54" s="3" t="s">
        <v>619</v>
      </c>
      <c r="B54" s="3"/>
      <c r="C54" s="3"/>
      <c r="D54" s="18" t="n">
        <f aca="false">$D$11</f>
        <v>10</v>
      </c>
      <c r="E54" s="8" t="s">
        <v>556</v>
      </c>
      <c r="F54" s="24" t="str">
        <f aca="false">IF(D54&gt;=$D$31,"UYGUN","UYGUN DEĞİL")</f>
        <v>UYGUN</v>
      </c>
      <c r="J54" s="13" t="s">
        <v>620</v>
      </c>
    </row>
    <row r="55" customFormat="false" ht="15" hidden="false" customHeight="false" outlineLevel="0" collapsed="false">
      <c r="A55" s="3" t="s">
        <v>621</v>
      </c>
      <c r="B55" s="3"/>
      <c r="C55" s="3"/>
      <c r="D55" s="18" t="n">
        <f aca="false">$D$31</f>
        <v>7.68536154160241</v>
      </c>
      <c r="E55" s="8" t="s">
        <v>556</v>
      </c>
      <c r="J55" s="13" t="s">
        <v>622</v>
      </c>
    </row>
    <row r="57" customFormat="false" ht="15" hidden="false" customHeight="false" outlineLevel="0" collapsed="false">
      <c r="A57" s="25" t="s">
        <v>623</v>
      </c>
    </row>
    <row r="58" customFormat="false" ht="15" hidden="false" customHeight="false" outlineLevel="0" collapsed="false">
      <c r="A58" s="25" t="s">
        <v>624</v>
      </c>
    </row>
  </sheetData>
  <mergeCells count="35"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2:J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3:J33"/>
    <mergeCell ref="A45:J45"/>
    <mergeCell ref="A50:J50"/>
    <mergeCell ref="A52:C52"/>
    <mergeCell ref="A53:C53"/>
    <mergeCell ref="A54:C54"/>
    <mergeCell ref="A55:C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2026-10-24T19:14:48Z</dcterms:created>
  <dc:creator>openpyxl</dc:creator>
  <dc:description/>
  <dc:language>en-US</dc:language>
  <cp:lastModifiedBy/>
  <dcterms:modified xsi:type="dcterms:W3CDTF">2026-10-24T19:14:48Z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