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<sst xmlns="http://schemas.openxmlformats.org/spreadsheetml/2006/main" count="1262" uniqueCount="661">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</sst>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23.8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460</v>
      </c>
      <c r="B3" s="3"/>
      <c r="C3" s="4" t="n">
        <v>20</v>
      </c>
    </row>
    <row r="4" customFormat="false" ht="15" hidden="false" customHeight="false" outlineLevel="0" collapsed="false">
      <c r="A4" s="3" t="s">
        <v>461</v>
      </c>
      <c r="B4" s="3"/>
      <c r="C4" s="4" t="n">
        <v>20</v>
      </c>
    </row>
    <row r="5" customFormat="false" ht="15" hidden="false" customHeight="false" outlineLevel="0" collapsed="false">
      <c r="A5" s="3" t="s">
        <v>462</v>
      </c>
      <c r="B5" s="3"/>
      <c r="C5" s="4" t="n">
        <v>1</v>
      </c>
    </row>
    <row r="6" customFormat="false" ht="15" hidden="false" customHeight="false" outlineLevel="0" collapsed="false">
      <c r="A6" s="3" t="s">
        <v>463</v>
      </c>
      <c r="B6" s="3"/>
      <c r="C6" s="4" t="n">
        <v>0.8</v>
      </c>
    </row>
    <row r="7" customFormat="false" ht="15" hidden="false" customHeight="false" outlineLevel="0" collapsed="false">
      <c r="A7" s="3" t="s">
        <v>464</v>
      </c>
      <c r="B7" s="3"/>
      <c r="C7" s="4" t="n">
        <v>3</v>
      </c>
    </row>
    <row r="8" customFormat="false" ht="15" hidden="false" customHeight="false" outlineLevel="0" collapsed="false">
      <c r="A8" s="3" t="s">
        <v>465</v>
      </c>
      <c r="B8" s="3"/>
      <c r="C8" s="4" t="n">
        <v>10</v>
      </c>
    </row>
    <row r="9" customFormat="false" ht="15" hidden="false" customHeight="false" outlineLevel="0" collapsed="false">
      <c r="A9" s="3" t="s">
        <v>466</v>
      </c>
      <c r="B9" s="3"/>
      <c r="C9" s="4" t="n">
        <v>15</v>
      </c>
    </row>
    <row r="10" customFormat="false" ht="15" hidden="false" customHeight="false" outlineLevel="0" collapsed="false">
      <c r="A10" s="3" t="s">
        <v>467</v>
      </c>
      <c r="B10" s="3"/>
      <c r="C10" s="4" t="n">
        <v>10</v>
      </c>
    </row>
    <row r="11" customFormat="false" ht="15" hidden="false" customHeight="false" outlineLevel="0" collapsed="false">
      <c r="A11" s="3" t="s">
        <v>468</v>
      </c>
      <c r="B11" s="3"/>
      <c r="C11" s="4" t="n">
        <v>10</v>
      </c>
    </row>
    <row r="12" customFormat="false" ht="15" hidden="false" customHeight="false" outlineLevel="0" collapsed="false">
      <c r="A12" s="3" t="s">
        <v>469</v>
      </c>
      <c r="B12" s="3"/>
      <c r="C12" s="4" t="n">
        <v>16</v>
      </c>
    </row>
    <row r="13" customFormat="false" ht="15" hidden="false" customHeight="false" outlineLevel="0" collapsed="false">
      <c r="A13" s="3" t="s">
        <v>470</v>
      </c>
      <c r="B13" s="3"/>
      <c r="C13" s="4" t="n">
        <v>25</v>
      </c>
    </row>
    <row r="14" customFormat="false" ht="15" hidden="false" customHeight="false" outlineLevel="0" collapsed="false">
      <c r="A14" s="3" t="s">
        <v>471</v>
      </c>
      <c r="B14" s="3"/>
      <c r="C14" s="4" t="n">
        <v>6</v>
      </c>
    </row>
    <row r="15" customFormat="false" ht="15" hidden="false" customHeight="false" outlineLevel="0" collapsed="false">
      <c r="A15" s="3" t="s">
        <v>472</v>
      </c>
      <c r="B15" s="3"/>
      <c r="C15" s="4" t="n">
        <v>4</v>
      </c>
    </row>
    <row r="16" customFormat="false" ht="15" hidden="false" customHeight="false" outlineLevel="0" collapsed="false">
      <c r="A16" s="3" t="s">
        <v>473</v>
      </c>
      <c r="B16" s="3"/>
      <c r="C16" s="4" t="n">
        <v>2.5</v>
      </c>
    </row>
    <row r="17" customFormat="false" ht="15" hidden="false" customHeight="false" outlineLevel="0" collapsed="false">
      <c r="A17" s="3" t="s">
        <v>474</v>
      </c>
      <c r="B17" s="3"/>
      <c r="C17" s="4" t="n">
        <v>3</v>
      </c>
    </row>
    <row r="18" customFormat="false" ht="15" hidden="false" customHeight="false" outlineLevel="0" collapsed="false">
      <c r="A18" s="3" t="s">
        <v>475</v>
      </c>
      <c r="B18" s="3"/>
      <c r="C18" s="4" t="n">
        <v>3</v>
      </c>
    </row>
    <row r="19" customFormat="false" ht="15" hidden="false" customHeight="false" outlineLevel="0" collapsed="false">
      <c r="A19" s="3" t="s">
        <v>476</v>
      </c>
      <c r="B19" s="3"/>
      <c r="C19" s="4" t="n">
        <v>6</v>
      </c>
    </row>
    <row r="20" customFormat="false" ht="15" hidden="false" customHeight="false" outlineLevel="0" collapsed="false">
      <c r="A20" s="3" t="s">
        <v>477</v>
      </c>
      <c r="B20" s="3"/>
      <c r="C20" s="4" t="n">
        <v>12</v>
      </c>
    </row>
    <row r="21" customFormat="false" ht="15" hidden="false" customHeight="false" outlineLevel="0" collapsed="false">
      <c r="A21" s="3" t="s">
        <v>478</v>
      </c>
      <c r="B21" s="3"/>
      <c r="C21" s="4" t="n">
        <v>6</v>
      </c>
    </row>
    <row r="22" customFormat="false" ht="15" hidden="false" customHeight="false" outlineLevel="0" collapsed="false">
      <c r="A22" s="3" t="s">
        <v>479</v>
      </c>
      <c r="B22" s="3"/>
      <c r="C22" s="4" t="n">
        <v>30</v>
      </c>
    </row>
    <row r="23" customFormat="false" ht="15" hidden="false" customHeight="false" outlineLevel="0" collapsed="false">
      <c r="A23" s="3" t="s">
        <v>480</v>
      </c>
      <c r="B23" s="3"/>
      <c r="C23" s="4" t="n">
        <v>2</v>
      </c>
    </row>
    <row r="24" customFormat="false" ht="15" hidden="false" customHeight="false" outlineLevel="0" collapsed="false">
      <c r="A24" s="3" t="s">
        <v>481</v>
      </c>
      <c r="B24" s="3"/>
      <c r="C24" s="4" t="n">
        <v>1.5</v>
      </c>
    </row>
    <row r="25" customFormat="false" ht="15" hidden="false" customHeight="false" outlineLevel="0" collapsed="false">
      <c r="A25" s="3" t="s">
        <v>482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483</v>
      </c>
      <c r="C27" s="6" t="s">
        <v>484</v>
      </c>
      <c r="D27" s="6" t="s">
        <v>485</v>
      </c>
      <c r="E27" s="6" t="s">
        <v>486</v>
      </c>
      <c r="F27" s="6" t="s">
        <v>187</v>
      </c>
    </row>
    <row r="28" customFormat="false" ht="15" hidden="false" customHeight="false" outlineLevel="0" collapsed="false">
      <c r="A28" s="28" t="s">
        <v>487</v>
      </c>
      <c r="B28" s="13" t="s">
        <v>488</v>
      </c>
      <c r="C28" s="22" t="s">
        <v>452</v>
      </c>
      <c r="D28" s="33" t="n">
        <f aca="false">2*(($C$3+2*$C$5)+($C$4+2*$C$5))</f>
        <v>88</v>
      </c>
      <c r="E28" s="13" t="s">
        <v>489</v>
      </c>
      <c r="F28" s="13" t="s">
        <v>490</v>
      </c>
    </row>
    <row r="29" customFormat="false" ht="15" hidden="false" customHeight="false" outlineLevel="0" collapsed="false">
      <c r="A29" s="28" t="s">
        <v>487</v>
      </c>
      <c r="B29" s="13" t="s">
        <v>491</v>
      </c>
      <c r="C29" s="22" t="s">
        <v>452</v>
      </c>
      <c r="D29" s="33" t="n">
        <f aca="false">ROUNDUP(D28*(1+$C$10/100),0)</f>
        <v>97</v>
      </c>
      <c r="E29" s="13" t="s">
        <v>492</v>
      </c>
      <c r="F29" s="13" t="s">
        <v>490</v>
      </c>
    </row>
    <row r="30" customFormat="false" ht="15" hidden="false" customHeight="false" outlineLevel="0" collapsed="false">
      <c r="A30" s="28" t="s">
        <v>493</v>
      </c>
      <c r="B30" s="13" t="s">
        <v>494</v>
      </c>
      <c r="C30" s="22" t="s">
        <v>495</v>
      </c>
      <c r="D30" s="33" t="n">
        <f aca="false">2*(ROUNDUP(($C$3+2*$C$5)/$C$8,0)+ROUNDUP(($C$4+2*$C$5)/$C$8,0))</f>
        <v>12</v>
      </c>
      <c r="E30" s="13" t="s">
        <v>496</v>
      </c>
      <c r="F30" s="13" t="s">
        <v>497</v>
      </c>
    </row>
    <row r="31" customFormat="false" ht="15" hidden="false" customHeight="false" outlineLevel="0" collapsed="false">
      <c r="A31" s="28" t="s">
        <v>493</v>
      </c>
      <c r="B31" s="13" t="s">
        <v>498</v>
      </c>
      <c r="C31" s="22" t="s">
        <v>452</v>
      </c>
      <c r="D31" s="33" t="n">
        <f aca="false">D30*$C$7</f>
        <v>36</v>
      </c>
      <c r="E31" s="13" t="s">
        <v>499</v>
      </c>
      <c r="F31" s="13"/>
    </row>
    <row r="32" customFormat="false" ht="15" hidden="false" customHeight="false" outlineLevel="0" collapsed="false">
      <c r="A32" s="28" t="s">
        <v>493</v>
      </c>
      <c r="B32" s="13" t="s">
        <v>500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501</v>
      </c>
      <c r="F32" s="13" t="s">
        <v>502</v>
      </c>
    </row>
    <row r="33" customFormat="false" ht="15" hidden="false" customHeight="false" outlineLevel="0" collapsed="false">
      <c r="A33" s="28" t="s">
        <v>503</v>
      </c>
      <c r="B33" s="13" t="s">
        <v>504</v>
      </c>
      <c r="C33" s="22" t="s">
        <v>495</v>
      </c>
      <c r="D33" s="33" t="n">
        <f aca="false">$C$15</f>
        <v>4</v>
      </c>
      <c r="E33" s="13" t="s">
        <v>505</v>
      </c>
      <c r="F33" s="13" t="s">
        <v>506</v>
      </c>
    </row>
    <row r="34" customFormat="false" ht="15" hidden="false" customHeight="false" outlineLevel="0" collapsed="false">
      <c r="A34" s="28" t="s">
        <v>507</v>
      </c>
      <c r="B34" s="13" t="s">
        <v>508</v>
      </c>
      <c r="C34" s="22" t="s">
        <v>495</v>
      </c>
      <c r="D34" s="33" t="n">
        <f aca="false">MIN(8,MAX(2,ROUNDUP(2*($C$3+$C$4)/$C$9,0)))</f>
        <v>6</v>
      </c>
      <c r="E34" s="13" t="s">
        <v>509</v>
      </c>
      <c r="F34" s="13" t="s">
        <v>510</v>
      </c>
    </row>
    <row r="35" customFormat="false" ht="15" hidden="false" customHeight="false" outlineLevel="0" collapsed="false">
      <c r="A35" s="28" t="s">
        <v>511</v>
      </c>
      <c r="B35" s="13" t="s">
        <v>512</v>
      </c>
      <c r="C35" s="22" t="s">
        <v>495</v>
      </c>
      <c r="D35" s="33" t="n">
        <f aca="false">D34</f>
        <v>6</v>
      </c>
      <c r="E35" s="13" t="s">
        <v>513</v>
      </c>
      <c r="F35" s="13" t="s">
        <v>514</v>
      </c>
    </row>
    <row r="36" customFormat="false" ht="23.85" hidden="false" customHeight="false" outlineLevel="0" collapsed="false">
      <c r="A36" s="28" t="s">
        <v>507</v>
      </c>
      <c r="B36" s="13" t="s">
        <v>515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516</v>
      </c>
      <c r="F36" s="13" t="s">
        <v>517</v>
      </c>
    </row>
    <row r="37" customFormat="false" ht="15" hidden="false" customHeight="false" outlineLevel="0" collapsed="false">
      <c r="A37" s="28" t="s">
        <v>518</v>
      </c>
      <c r="B37" s="13" t="s">
        <v>519</v>
      </c>
      <c r="C37" s="22" t="s">
        <v>452</v>
      </c>
      <c r="D37" s="33" t="n">
        <f aca="false">ROUNDUP((2*($C$3+$C$4)+$C$4/2+3)*(1+$C$10/100),0)</f>
        <v>103</v>
      </c>
      <c r="E37" s="13" t="s">
        <v>520</v>
      </c>
      <c r="F37" s="13" t="s">
        <v>521</v>
      </c>
    </row>
    <row r="38" customFormat="false" ht="15" hidden="false" customHeight="false" outlineLevel="0" collapsed="false">
      <c r="A38" s="28" t="s">
        <v>522</v>
      </c>
      <c r="B38" s="13" t="s">
        <v>523</v>
      </c>
      <c r="C38" s="22" t="s">
        <v>495</v>
      </c>
      <c r="D38" s="33" t="n">
        <f aca="false">3</f>
        <v>3</v>
      </c>
      <c r="E38" s="13" t="s">
        <v>524</v>
      </c>
      <c r="F38" s="13" t="s">
        <v>525</v>
      </c>
    </row>
    <row r="39" customFormat="false" ht="15" hidden="false" customHeight="false" outlineLevel="0" collapsed="false">
      <c r="A39" s="28" t="s">
        <v>522</v>
      </c>
      <c r="B39" s="13" t="s">
        <v>526</v>
      </c>
      <c r="C39" s="22" t="s">
        <v>452</v>
      </c>
      <c r="D39" s="20" t="n">
        <f aca="false">$C$23+$C$24+$C$25</f>
        <v>4.5</v>
      </c>
      <c r="E39" s="13" t="s">
        <v>527</v>
      </c>
      <c r="F39" s="13"/>
    </row>
    <row r="40" customFormat="false" ht="15" hidden="false" customHeight="false" outlineLevel="0" collapsed="false">
      <c r="A40" s="28" t="s">
        <v>528</v>
      </c>
      <c r="B40" s="13" t="s">
        <v>529</v>
      </c>
      <c r="C40" s="22" t="s">
        <v>495</v>
      </c>
      <c r="D40" s="33" t="n">
        <f aca="false">1</f>
        <v>1</v>
      </c>
      <c r="E40" s="13" t="s">
        <v>530</v>
      </c>
      <c r="F40" s="13" t="s">
        <v>531</v>
      </c>
    </row>
    <row r="41" customFormat="false" ht="15" hidden="false" customHeight="false" outlineLevel="0" collapsed="false">
      <c r="A41" s="28" t="s">
        <v>532</v>
      </c>
      <c r="B41" s="13" t="s">
        <v>533</v>
      </c>
      <c r="C41" s="22" t="s">
        <v>452</v>
      </c>
      <c r="D41" s="33" t="n">
        <f aca="false">ROUNDUP($C$16*(1+$C$10/100),0)</f>
        <v>3</v>
      </c>
      <c r="E41" s="13" t="s">
        <v>534</v>
      </c>
      <c r="F41" s="13" t="s">
        <v>517</v>
      </c>
    </row>
    <row r="42" customFormat="false" ht="15" hidden="false" customHeight="false" outlineLevel="0" collapsed="false">
      <c r="A42" s="28" t="s">
        <v>535</v>
      </c>
      <c r="B42" s="13" t="s">
        <v>536</v>
      </c>
      <c r="C42" s="22" t="s">
        <v>452</v>
      </c>
      <c r="D42" s="33" t="n">
        <f aca="false">ROUNDUP($C$17*(1+$C$10/100),0)</f>
        <v>4</v>
      </c>
      <c r="E42" s="13" t="s">
        <v>534</v>
      </c>
      <c r="F42" s="13" t="s">
        <v>517</v>
      </c>
    </row>
    <row r="43" customFormat="false" ht="15" hidden="false" customHeight="false" outlineLevel="0" collapsed="false">
      <c r="A43" s="28" t="s">
        <v>343</v>
      </c>
      <c r="B43" s="13" t="s">
        <v>537</v>
      </c>
      <c r="C43" s="22" t="s">
        <v>452</v>
      </c>
      <c r="D43" s="33" t="n">
        <f aca="false">ROUNDUP($C$22*(1+$C$10/100),0)</f>
        <v>33</v>
      </c>
      <c r="E43" s="13" t="s">
        <v>538</v>
      </c>
      <c r="F43" s="13" t="s">
        <v>539</v>
      </c>
    </row>
    <row r="44" customFormat="false" ht="15" hidden="false" customHeight="false" outlineLevel="0" collapsed="false">
      <c r="A44" s="28" t="s">
        <v>540</v>
      </c>
      <c r="B44" s="13" t="s">
        <v>541</v>
      </c>
      <c r="C44" s="22" t="s">
        <v>495</v>
      </c>
      <c r="D44" s="33" t="n">
        <f aca="false">$C$18</f>
        <v>3</v>
      </c>
      <c r="E44" s="13" t="s">
        <v>505</v>
      </c>
      <c r="F44" s="13" t="s">
        <v>542</v>
      </c>
    </row>
    <row r="45" customFormat="false" ht="15" hidden="false" customHeight="false" outlineLevel="0" collapsed="false">
      <c r="A45" s="28" t="s">
        <v>540</v>
      </c>
      <c r="B45" s="13" t="s">
        <v>543</v>
      </c>
      <c r="C45" s="22" t="s">
        <v>452</v>
      </c>
      <c r="D45" s="33" t="n">
        <f aca="false">($C$18-1)*$C$19+6</f>
        <v>18</v>
      </c>
      <c r="E45" s="13" t="s">
        <v>544</v>
      </c>
      <c r="F45" s="13" t="s">
        <v>545</v>
      </c>
    </row>
    <row r="46" customFormat="false" ht="15" hidden="false" customHeight="false" outlineLevel="0" collapsed="false">
      <c r="A46" s="28" t="s">
        <v>546</v>
      </c>
      <c r="B46" s="13" t="s">
        <v>547</v>
      </c>
      <c r="C46" s="22" t="s">
        <v>452</v>
      </c>
      <c r="D46" s="33" t="n">
        <f aca="false">ROUNDUP($C$21*$C$20*(1+$C$10/100),0)</f>
        <v>80</v>
      </c>
      <c r="E46" s="13" t="s">
        <v>548</v>
      </c>
      <c r="F46" s="13" t="s">
        <v>549</v>
      </c>
    </row>
    <row r="47" customFormat="false" ht="15" hidden="false" customHeight="false" outlineLevel="0" collapsed="false">
      <c r="A47" s="28" t="s">
        <v>546</v>
      </c>
      <c r="B47" s="13" t="s">
        <v>550</v>
      </c>
      <c r="C47" s="22" t="s">
        <v>495</v>
      </c>
      <c r="D47" s="33" t="n">
        <f aca="false">$C$21</f>
        <v>6</v>
      </c>
      <c r="E47" s="13" t="s">
        <v>551</v>
      </c>
      <c r="F47" s="13" t="s">
        <v>552</v>
      </c>
    </row>
    <row r="48" customFormat="false" ht="15" hidden="false" customHeight="false" outlineLevel="0" collapsed="false">
      <c r="A48" s="28" t="s">
        <v>553</v>
      </c>
      <c r="B48" s="13" t="s">
        <v>554</v>
      </c>
      <c r="C48" s="22" t="s">
        <v>495</v>
      </c>
      <c r="D48" s="33" t="n">
        <f aca="false">1</f>
        <v>1</v>
      </c>
      <c r="E48" s="13" t="s">
        <v>555</v>
      </c>
      <c r="F48" s="13" t="s">
        <v>556</v>
      </c>
    </row>
    <row r="49" customFormat="false" ht="15" hidden="false" customHeight="false" outlineLevel="0" collapsed="false">
      <c r="A49" s="28" t="s">
        <v>557</v>
      </c>
      <c r="B49" s="13" t="s">
        <v>558</v>
      </c>
      <c r="C49" s="22" t="s">
        <v>495</v>
      </c>
      <c r="D49" s="33" t="n">
        <f aca="false">D30+D34+2+1+$C$21</f>
        <v>27</v>
      </c>
      <c r="E49" s="13" t="s">
        <v>559</v>
      </c>
      <c r="F49" s="13" t="s">
        <v>560</v>
      </c>
    </row>
    <row r="50" customFormat="false" ht="15" hidden="false" customHeight="false" outlineLevel="0" collapsed="false">
      <c r="A50" s="28" t="s">
        <v>557</v>
      </c>
      <c r="B50" s="13" t="s">
        <v>561</v>
      </c>
      <c r="C50" s="22" t="s">
        <v>495</v>
      </c>
      <c r="D50" s="33" t="n">
        <f aca="false">3</f>
        <v>3</v>
      </c>
      <c r="E50" s="13" t="s">
        <v>562</v>
      </c>
      <c r="F50" s="13" t="s">
        <v>563</v>
      </c>
    </row>
    <row r="51" customFormat="false" ht="15" hidden="false" customHeight="false" outlineLevel="0" collapsed="false">
      <c r="A51" s="28" t="s">
        <v>69</v>
      </c>
      <c r="B51" s="13" t="s">
        <v>564</v>
      </c>
      <c r="C51" s="22" t="s">
        <v>495</v>
      </c>
      <c r="D51" s="33" t="n">
        <f aca="false">ROUNDUP(D49/10,0)</f>
        <v>3</v>
      </c>
      <c r="E51" s="13" t="s">
        <v>565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567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568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569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570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571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572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573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574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575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576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577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578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579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580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581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582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583</v>
      </c>
      <c r="B23" s="3"/>
      <c r="C23" s="3"/>
      <c r="D23" s="20" t="n">
        <f aca="false">$D$3*1000/(SQRT(3)*$D$4)</f>
        <v>360.843918243516</v>
      </c>
      <c r="E23" s="8" t="s">
        <v>584</v>
      </c>
    </row>
    <row r="24" customFormat="false" ht="15" hidden="false" customHeight="false" outlineLevel="0" collapsed="false">
      <c r="A24" s="3" t="s">
        <v>585</v>
      </c>
      <c r="B24" s="3"/>
      <c r="C24" s="3"/>
      <c r="D24" s="18" t="n">
        <f aca="false">$D$23/($D$5/100)/1000</f>
        <v>9.0210979560879</v>
      </c>
      <c r="E24" s="8" t="s">
        <v>586</v>
      </c>
    </row>
    <row r="25" customFormat="false" ht="15" hidden="false" customHeight="false" outlineLevel="0" collapsed="false">
      <c r="A25" s="3" t="s">
        <v>587</v>
      </c>
      <c r="B25" s="3"/>
      <c r="C25" s="3"/>
      <c r="D25" s="34" t="n">
        <f aca="false">$D$5/100*$D$4^2/($D$3*1000)</f>
        <v>0.0256</v>
      </c>
      <c r="E25" s="8" t="s">
        <v>588</v>
      </c>
    </row>
    <row r="26" customFormat="false" ht="15" hidden="false" customHeight="false" outlineLevel="0" collapsed="false">
      <c r="A26" s="3" t="s">
        <v>589</v>
      </c>
      <c r="B26" s="3"/>
      <c r="C26" s="3"/>
      <c r="D26" s="34" t="n">
        <f aca="false">$D$6/100*$D$4^2/($D$3*1000)</f>
        <v>0.00832</v>
      </c>
      <c r="E26" s="8" t="s">
        <v>588</v>
      </c>
    </row>
    <row r="27" customFormat="false" ht="15" hidden="false" customHeight="false" outlineLevel="0" collapsed="false">
      <c r="A27" s="3" t="s">
        <v>590</v>
      </c>
      <c r="B27" s="3"/>
      <c r="C27" s="3"/>
      <c r="D27" s="34" t="n">
        <f aca="false">SQRT($D$25^2-$D$26^2)</f>
        <v>0.0242102788088035</v>
      </c>
      <c r="E27" s="8" t="s">
        <v>588</v>
      </c>
    </row>
    <row r="28" customFormat="false" ht="15" hidden="false" customHeight="false" outlineLevel="0" collapsed="false">
      <c r="A28" s="3" t="s">
        <v>591</v>
      </c>
      <c r="B28" s="3"/>
      <c r="C28" s="3"/>
      <c r="D28" s="34" t="n">
        <f aca="false">$D$7/(56*$D$8)</f>
        <v>0.0056390977443609</v>
      </c>
      <c r="E28" s="8" t="s">
        <v>588</v>
      </c>
    </row>
    <row r="29" customFormat="false" ht="15" hidden="false" customHeight="false" outlineLevel="0" collapsed="false">
      <c r="A29" s="3" t="s">
        <v>592</v>
      </c>
      <c r="B29" s="3"/>
      <c r="C29" s="3"/>
      <c r="D29" s="34" t="n">
        <f aca="false">$D$9/1000*$D$7</f>
        <v>0.0024</v>
      </c>
      <c r="E29" s="8" t="s">
        <v>588</v>
      </c>
    </row>
    <row r="30" customFormat="false" ht="15" hidden="false" customHeight="false" outlineLevel="0" collapsed="false">
      <c r="A30" s="3" t="s">
        <v>593</v>
      </c>
      <c r="B30" s="3"/>
      <c r="C30" s="3"/>
      <c r="D30" s="34" t="n">
        <f aca="false">SQRT(($D$26+$D$28)^2+($D$27+$D$29)^2)</f>
        <v>0.0300493485473292</v>
      </c>
      <c r="E30" s="8" t="s">
        <v>588</v>
      </c>
    </row>
    <row r="31" customFormat="false" ht="15" hidden="false" customHeight="false" outlineLevel="0" collapsed="false">
      <c r="A31" s="3" t="s">
        <v>594</v>
      </c>
      <c r="B31" s="3"/>
      <c r="C31" s="3"/>
      <c r="D31" s="18" t="n">
        <f aca="false">$D$4/(SQRT(3)*$D$30)/1000</f>
        <v>7.68536154160241</v>
      </c>
      <c r="E31" s="8" t="s">
        <v>586</v>
      </c>
    </row>
    <row r="33" customFormat="false" ht="15" hidden="false" customHeight="false" outlineLevel="0" collapsed="false">
      <c r="A33" s="14" t="s">
        <v>595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596</v>
      </c>
      <c r="B34" s="7" t="s">
        <v>10</v>
      </c>
      <c r="C34" s="7" t="s">
        <v>597</v>
      </c>
      <c r="D34" s="7" t="s">
        <v>598</v>
      </c>
      <c r="E34" s="7" t="s">
        <v>599</v>
      </c>
      <c r="F34" s="7" t="s">
        <v>600</v>
      </c>
      <c r="G34" s="7" t="s">
        <v>601</v>
      </c>
      <c r="H34" s="7" t="s">
        <v>602</v>
      </c>
      <c r="I34" s="7" t="s">
        <v>603</v>
      </c>
      <c r="J34" s="7" t="s">
        <v>428</v>
      </c>
    </row>
    <row r="35" customFormat="false" ht="15" hidden="false" customHeight="false" outlineLevel="0" collapsed="false">
      <c r="A35" s="22" t="s">
        <v>604</v>
      </c>
      <c r="B35" s="28" t="s">
        <v>143</v>
      </c>
      <c r="C35" s="13" t="s">
        <v>605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606</v>
      </c>
    </row>
    <row r="36" customFormat="false" ht="15" hidden="false" customHeight="false" outlineLevel="0" collapsed="false">
      <c r="A36" s="22" t="s">
        <v>607</v>
      </c>
      <c r="B36" s="28" t="s">
        <v>202</v>
      </c>
      <c r="C36" s="13" t="s">
        <v>608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609</v>
      </c>
    </row>
    <row r="37" customFormat="false" ht="15" hidden="false" customHeight="false" outlineLevel="0" collapsed="false">
      <c r="A37" s="22" t="s">
        <v>610</v>
      </c>
      <c r="B37" s="28" t="s">
        <v>276</v>
      </c>
      <c r="C37" s="13" t="s">
        <v>611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612</v>
      </c>
    </row>
    <row r="38" customFormat="false" ht="15" hidden="false" customHeight="false" outlineLevel="0" collapsed="false">
      <c r="A38" s="22" t="s">
        <v>610</v>
      </c>
      <c r="B38" s="28" t="s">
        <v>243</v>
      </c>
      <c r="C38" s="13" t="s">
        <v>613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614</v>
      </c>
    </row>
    <row r="39" customFormat="false" ht="15" hidden="false" customHeight="false" outlineLevel="0" collapsed="false">
      <c r="A39" s="22" t="s">
        <v>610</v>
      </c>
      <c r="B39" s="28" t="s">
        <v>246</v>
      </c>
      <c r="C39" s="13" t="s">
        <v>615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616</v>
      </c>
    </row>
    <row r="40" customFormat="false" ht="15" hidden="false" customHeight="false" outlineLevel="0" collapsed="false">
      <c r="A40" s="22" t="s">
        <v>610</v>
      </c>
      <c r="B40" s="28" t="s">
        <v>279</v>
      </c>
      <c r="C40" s="13" t="s">
        <v>617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618</v>
      </c>
    </row>
    <row r="41" customFormat="false" ht="15" hidden="false" customHeight="false" outlineLevel="0" collapsed="false">
      <c r="A41" s="22" t="s">
        <v>619</v>
      </c>
      <c r="B41" s="28" t="s">
        <v>282</v>
      </c>
      <c r="C41" s="13" t="s">
        <v>620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619</v>
      </c>
      <c r="B42" s="28" t="s">
        <v>621</v>
      </c>
      <c r="C42" s="13" t="s">
        <v>622</v>
      </c>
      <c r="D42" s="22" t="s">
        <v>623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624</v>
      </c>
    </row>
    <row r="43" customFormat="false" ht="15" hidden="false" customHeight="false" outlineLevel="0" collapsed="false">
      <c r="A43" s="22" t="s">
        <v>619</v>
      </c>
      <c r="B43" s="28" t="s">
        <v>285</v>
      </c>
      <c r="C43" s="13" t="s">
        <v>625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626</v>
      </c>
    </row>
    <row r="44" customFormat="false" ht="15" hidden="false" customHeight="false" outlineLevel="0" collapsed="false">
      <c r="A44" s="22" t="s">
        <v>627</v>
      </c>
      <c r="B44" s="28" t="s">
        <v>301</v>
      </c>
      <c r="C44" s="13" t="s">
        <v>628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629</v>
      </c>
    </row>
    <row r="45" customFormat="false" ht="15" hidden="false" customHeight="false" outlineLevel="0" collapsed="false">
      <c r="B45" s="3" t="s">
        <v>630</v>
      </c>
      <c r="C45" s="8" t="s">
        <v>631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632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633</v>
      </c>
      <c r="B48" s="7" t="s">
        <v>634</v>
      </c>
      <c r="C48" s="7" t="s">
        <v>635</v>
      </c>
      <c r="D48" s="7" t="s">
        <v>636</v>
      </c>
      <c r="E48" s="7" t="s">
        <v>637</v>
      </c>
      <c r="F48" s="7" t="s">
        <v>638</v>
      </c>
      <c r="G48" s="7" t="s">
        <v>639</v>
      </c>
      <c r="H48" s="7" t="s">
        <v>640</v>
      </c>
      <c r="I48" s="7" t="s">
        <v>641</v>
      </c>
      <c r="J48" s="7" t="s">
        <v>642</v>
      </c>
    </row>
    <row r="49" customFormat="false" ht="15" hidden="false" customHeight="false" outlineLevel="0" collapsed="false">
      <c r="A49" s="3" t="s">
        <v>202</v>
      </c>
      <c r="B49" s="13" t="s">
        <v>643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644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645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646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647</v>
      </c>
      <c r="B54" s="6"/>
      <c r="C54" s="6"/>
      <c r="D54" s="6" t="s">
        <v>648</v>
      </c>
      <c r="E54" s="6" t="s">
        <v>484</v>
      </c>
      <c r="F54" s="6" t="s">
        <v>649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650</v>
      </c>
      <c r="B55" s="3"/>
      <c r="C55" s="3"/>
      <c r="D55" s="18" t="n">
        <f aca="false">$D$12*$D$13</f>
        <v>960</v>
      </c>
      <c r="E55" s="8" t="s">
        <v>584</v>
      </c>
      <c r="J55" s="13" t="s">
        <v>651</v>
      </c>
    </row>
    <row r="56" customFormat="false" ht="15" hidden="false" customHeight="false" outlineLevel="0" collapsed="false">
      <c r="A56" s="3" t="s">
        <v>652</v>
      </c>
      <c r="B56" s="3"/>
      <c r="C56" s="3"/>
      <c r="D56" s="18" t="n">
        <f aca="false">$D$14</f>
        <v>100</v>
      </c>
      <c r="E56" s="8" t="s">
        <v>653</v>
      </c>
      <c r="F56" s="24" t="str">
        <f aca="false">IF(D56&gt;=$D$19+$D$18,"UYGUN","UYGUN DEĞİL")</f>
        <v>UYGUN</v>
      </c>
      <c r="J56" s="13" t="s">
        <v>654</v>
      </c>
    </row>
    <row r="57" customFormat="false" ht="15" hidden="false" customHeight="false" outlineLevel="0" collapsed="false">
      <c r="A57" s="3" t="s">
        <v>655</v>
      </c>
      <c r="B57" s="3"/>
      <c r="C57" s="3"/>
      <c r="D57" s="18" t="n">
        <f aca="false">$D$11</f>
        <v>10</v>
      </c>
      <c r="E57" s="8" t="s">
        <v>586</v>
      </c>
      <c r="F57" s="24" t="str">
        <f aca="false">IF(D57&gt;=$D$31,"UYGUN","UYGUN DEĞİL")</f>
        <v>UYGUN</v>
      </c>
      <c r="J57" s="13" t="s">
        <v>656</v>
      </c>
    </row>
    <row r="58" customFormat="false" ht="15" hidden="false" customHeight="false" outlineLevel="0" collapsed="false">
      <c r="A58" s="3" t="s">
        <v>657</v>
      </c>
      <c r="B58" s="3"/>
      <c r="C58" s="3"/>
      <c r="D58" s="18" t="n">
        <f aca="false">$D$31</f>
        <v>7.68536154160241</v>
      </c>
      <c r="E58" s="8" t="s">
        <v>586</v>
      </c>
      <c r="J58" s="13" t="s">
        <v>658</v>
      </c>
    </row>
    <row r="60" customFormat="false" ht="15" hidden="false" customHeight="false" outlineLevel="0" collapsed="false">
      <c r="A60" s="25" t="s">
        <v>659</v>
      </c>
    </row>
    <row r="61" customFormat="false" ht="15" hidden="false" customHeight="false" outlineLevel="0" collapsed="false">
      <c r="A61" s="25" t="s">
        <v>660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2026-10-24T20:25:17Z</dcterms:created>
  <dc:creator>openpyxl</dc:creator>
  <dc:description/>
  <dc:language>en-US</dc:language>
  <cp:lastModifiedBy/>
  <dcterms:modified xsi:type="dcterms:W3CDTF">2026-10-24T20:25:17Z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