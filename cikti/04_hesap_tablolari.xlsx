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<sst xmlns="http://schemas.openxmlformats.org/spreadsheetml/2006/main" count="1232" uniqueCount="654">
  <si>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</si>
  <si>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</si>
  <si>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</si>
  <si>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</si>
  <si>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</si>
  <si>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</si>
  <si>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</si>
  <si>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</si>
  <si>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</si>
  <si>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</si>
  <si>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</si>
  <si>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</si>
  <si>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</si>
  <si>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</si>
  <si>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</si>
  <si>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</si>
  <si>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</si>
  <si>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</si>
  <si>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</si>
  <si>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</si>
  <si>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</si>
  <si>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</si>
  <si>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</si>
  <si>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</si>
  <si>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</si>
  <si>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</si>
  <si>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</si>
  <si>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</si>
  <si>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</si>
  <si>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</si>
  <si>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</si>
  <si>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</si>
  <si>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</si>
  <si>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</si>
  <si>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</si>
  <si>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</si>
  <si>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</si>
  <si>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</si>
  <si>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</si>
  <si>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</si>
  <si>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</si>
  <si>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</si>
  <si>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</si>
  <si>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</si>
  <si>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</si>
  <si>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</si>
  <si>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</si>
  <si>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</si>
  <si>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 hattı-1
(PR1–PR4)</t>
  </si>
  <si>
    <t xml:space="preserve">PJ2</t>
  </si>
  <si>
    <t xml:space="preserve">Projektör hattı-2
(PR5–PR7)</t>
  </si>
  <si>
    <t xml:space="preserve">PJ3</t>
  </si>
  <si>
    <t xml:space="preserve">Projektör hattı-3
(PR8–PR10)</t>
  </si>
  <si>
    <t xml:space="preserve">KR1</t>
  </si>
  <si>
    <t xml:space="preserve">Kamera / NVR (UPS1)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</si>
  <si>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</si>
  <si>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</si>
  <si>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</si>
  <si>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</si>
  <si>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</si>
  <si>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</si>
  <si>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</si>
  <si>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</si>
  <si>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</si>
  <si>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</si>
  <si>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</si>
  <si>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</si>
  <si>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</si>
  <si>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</si>
  <si>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</si>
  <si>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</si>
  <si>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</si>
  <si>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</si>
  <si>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</si>
  <si>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</si>
  <si>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</si>
  <si>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</si>
  <si>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</si>
  <si>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</si>
  <si>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</si>
  <si>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</si>
  <si>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</si>
  <si>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</si>
  <si>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</si>
  <si>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</si>
  <si>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</si>
  <si>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</si>
  <si>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</si>
  <si>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</si>
  <si>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</si>
  <si>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</si>
  <si>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</si>
  <si>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</si>
  <si>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</si>
  <si>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</si>
  <si>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</si>
  <si>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</si>
  <si>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</si>
  <si>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</si>
  <si>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</si>
  <si>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 hattı-1 (PR1–PR4)</t>
  </si>
  <si>
    <t xml:space="preserve">Projektör hattı-2 (PR5–PR7)</t>
  </si>
  <si>
    <t xml:space="preserve">Projektör hattı-3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</si>
  <si>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</si>
  <si>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</si>
  <si>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</si>
  <si>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</si>
  <si>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</si>
  <si>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</si>
  <si>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</si>
  <si>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</si>
  <si>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</si>
  <si>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</si>
  <si>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</si>
  <si>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</si>
  <si>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</si>
  <si>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</si>
  <si>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</si>
  <si>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</si>
  <si>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</si>
  <si>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</si>
  <si>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</si>
  <si>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</si>
  <si>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</si>
  <si>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</si>
  <si>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</si>
  <si>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</si>
  <si>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</si>
  <si>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</si>
  <si>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</si>
  <si>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</si>
  <si>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</si>
  <si>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</si>
  <si>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</si>
  <si>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</si>
  <si>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</si>
  <si>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</si>
  <si>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</si>
  <si>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</si>
  <si>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</si>
  <si>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</si>
  <si>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</si>
  <si>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</si>
  <si>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</si>
  <si>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</si>
  <si>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</si>
  <si>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</si>
  <si>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</si>
  <si>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</si>
  <si>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</si>
  <si>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</si>
  <si>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</si>
  <si>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</si>
  <si>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</si>
  <si>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</si>
  <si>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</si>
  <si>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</si>
  <si>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</si>
  <si>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</si>
  <si>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</si>
  <si>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</si>
  <si>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</si>
  <si>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</si>
  <si>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</si>
  <si>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</si>
  <si>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</si>
  <si>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</si>
  <si>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</si>
  <si>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</si>
  <si>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</si>
  <si>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</si>
  <si>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</si>
  <si>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</si>
  <si>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MCB 1P+N C10 (RCD3 altında)</t>
  </si>
  <si>
    <t xml:space="preserve">W19</t>
  </si>
  <si>
    <t xml:space="preserve">W20</t>
  </si>
  <si>
    <t xml:space="preserve">W21</t>
  </si>
  <si>
    <t xml:space="preserve">NHXH FE180/E90 3x2,5 mm² Cu</t>
  </si>
  <si>
    <t xml:space="preserve">W22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</si>
  <si>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</si>
  <si>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</si>
  <si>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</si>
  <si>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</si>
  <si>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</si>
  <si>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</si>
  <si>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</si>
  <si>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</si>
  <si>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</si>
  <si>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</si>
  <si>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</si>
  <si>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</si>
  <si>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</si>
  <si>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</si>
  <si>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</si>
  <si>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</si>
  <si>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</si>
  <si>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</si>
  <si>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</si>
  <si>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</si>
  <si>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</si>
  <si>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</si>
  <si>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</si>
  <si>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</si>
  <si>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</si>
  <si>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</si>
  <si>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</si>
  <si>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</si>
  <si>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</si>
  <si>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</si>
  <si>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</si>
  <si>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</si>
  <si>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</si>
  <si>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</si>
  <si>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</si>
  <si>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</si>
  <si>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</si>
  <si>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</si>
  <si>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</si>
  <si>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</si>
  <si>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</si>
  <si>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</si>
  <si>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</si>
  <si>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</si>
  <si>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</si>
  <si>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</si>
  <si>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</si>
  <si>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</si>
  <si>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</si>
  <si>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</si>
  <si>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</si>
  <si>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</si>
  <si>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</si>
  <si>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</si>
  <si>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</si>
  <si>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</si>
  <si>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</si>
  <si>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</si>
  <si>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</si>
  <si>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</si>
  <si>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</si>
  <si>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</si>
  <si>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</si>
  <si>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</si>
  <si>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</si>
  <si>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</si>
  <si>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</si>
  <si>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</si>
  <si>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</si>
  <si>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</si>
  <si>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</si>
  <si>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</si>
  <si>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</si>
  <si>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</si>
  <si>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</si>
  <si>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</si>
  <si>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</si>
  <si>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</si>
  <si>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</si>
  <si>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</si>
  <si>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</si>
  <si>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</si>
  <si>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</si>
  <si>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</si>
  <si>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</si>
  <si>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</si>
  <si>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</si>
  <si>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</si>
  <si>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</si>
  <si>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</si>
  <si>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</si>
  <si>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</si>
  <si>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</si>
  <si>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</si>
  <si>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</si>
  <si>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</si>
  <si>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</si>
  <si>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</si>
  <si>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</si>
  <si>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</si>
  <si>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</si>
  <si>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</si>
  <si>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</si>
  <si>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</si>
  <si>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</si>
  <si>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</si>
  <si>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</si>
  <si>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</si>
  <si>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</si>
  <si>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</si>
  <si>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</si>
  <si>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</si>
  <si>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</si>
  <si>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</si>
  <si>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</si>
  <si>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</si>
  <si>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</si>
  <si>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</si>
  <si>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SS1, SS2</t>
  </si>
  <si>
    <t xml:space="preserve">Ses sistemi hattı MCB (RCD3 altında)</t>
  </si>
  <si>
    <t xml:space="preserve">1P+N C10 A, 10 kA</t>
  </si>
  <si>
    <t xml:space="preserve">Ses sistemi hattı RCBO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</si>
  <si>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</si>
  <si>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</si>
  <si>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</si>
  <si>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</si>
  <si>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</si>
  <si>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</si>
  <si>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</si>
  <si>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</si>
  <si>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</si>
  <si>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</si>
  <si>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</si>
  <si>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</si>
  <si>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</si>
  <si>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</si>
  <si>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</si>
  <si>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</si>
  <si>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</si>
  <si>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</si>
  <si>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</si>
  <si>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</si>
  <si>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</si>
  <si>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</si>
  <si>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</si>
  <si>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</si>
  <si>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</si>
  <si>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</si>
  <si>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</si>
  <si>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</si>
  <si>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</si>
  <si>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</si>
  <si>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</si>
  <si>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</si>
  <si>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</si>
  <si>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</si>
  <si>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</si>
  <si>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</si>
  <si>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</si>
  <si>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</si>
  <si>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</si>
  <si>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</si>
  <si>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</si>
  <si>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</si>
  <si>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</si>
  <si>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</si>
  <si>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</si>
  <si>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</si>
  <si>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</si>
  <si>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(çok bölgeli, raf tipi)</t>
  </si>
  <si>
    <t xml:space="preserve">1,8 kW toplam ses hattı gücü; elektrik odasında PN1 yanı (yer varsayımı)</t>
  </si>
  <si>
    <t xml:space="preserve">Ç6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</si>
  <si>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</si>
  <si>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</si>
  <si>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</si>
  <si>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</si>
  <si>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</si>
  <si>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</si>
  <si>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</si>
  <si>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</si>
  <si>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</si>
  <si>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Ç1, Ç6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</si>
  <si>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</si>
  <si>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</si>
  <si>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</si>
  <si>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</si>
  <si>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</si>
  <si>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</si>
  <si>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</si>
  <si>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</si>
  <si>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</si>
  <si>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</si>
  <si>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</si>
  <si>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</si>
  <si>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</si>
  <si>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</si>
  <si>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</si>
  <si>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</si>
  <si>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</si>
  <si>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</si>
  <si>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</si>
  <si>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</si>
  <si>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</si>
  <si>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</si>
  <si>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</si>
  <si>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</si>
  <si>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</si>
  <si>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</si>
  <si>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</si>
  <si>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</si>
  <si>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</si>
  <si>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</si>
  <si>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</si>
  <si>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</si>
  <si>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</si>
  <si>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</si>
  <si>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</si>
  <si>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</si>
  <si>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</si>
  <si>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</si>
  <si>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</si>
  <si>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</si>
  <si>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</si>
  <si>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</si>
  <si>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</si>
  <si>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</si>
  <si>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</si>
  <si>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</si>
  <si>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</si>
  <si>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</si>
  <si>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</si>
  <si>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W18–W20</t>
  </si>
  <si>
    <t xml:space="preserve">NYY 3x2,5 mm² Cu, L=100,0 m</t>
  </si>
  <si>
    <t xml:space="preserve">W21, W22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</si>
  <si>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</si>
  <si>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</si>
  <si>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</si>
  <si>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</si>
  <si>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</si>
  <si>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</si>
  <si>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</si>
  <si>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</si>
  <si>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</si>
  <si>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</si>
  <si>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</si>
  <si>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</si>
  <si>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</si>
  <si>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</si>
  <si>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</si>
  <si>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</si>
  <si>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</si>
  <si>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</si>
  <si>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</si>
  <si>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</si>
  <si>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</si>
  <si>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</si>
  <si>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</si>
  <si>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</si>
  <si>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</si>
  <si>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W18: NYY 3x2,5 mm², L=100 m</t>
  </si>
  <si>
    <t xml:space="preserve">kol gücü hoparlörlere eşit bölünmüştür (varsayım)</t>
  </si>
  <si>
    <t xml:space="preserve">W19: NYY 3x2,5 mm², L=100 m</t>
  </si>
  <si>
    <t xml:space="preserve">W20: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</si>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</sst>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18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</v>
      </c>
      <c r="I20" s="11" t="n">
        <f aca="false">IF($D20="3F",$G20/3,IF($D20=I$9,$G20,0))</f>
        <v>0.255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0</v>
      </c>
      <c r="L20" s="12" t="n">
        <f aca="false">IF($D20="3F",$G20*1000/(3*$B$4*$E20),IF($D20=L$9,$G20*1000/($B$4*$E20),0))</f>
        <v>1.23188405797101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17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0.255</v>
      </c>
      <c r="I21" s="11" t="n">
        <f aca="false">IF($D21="3F",$G21/3,IF($D21=I$9,$G21,0))</f>
        <v>0</v>
      </c>
      <c r="J21" s="11" t="n">
        <f aca="false">IF($D21="3F",$G21/3,IF($D21=J$9,$G21,0))</f>
        <v>0</v>
      </c>
      <c r="K21" s="12" t="n">
        <f aca="false">IF($D21="3F",$G21*1000/(3*$B$4*$E21),IF($D21=K$9,$G21*1000/($B$4*$E21),0))</f>
        <v>1.23188405797101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0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19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</v>
      </c>
      <c r="J22" s="11" t="n">
        <f aca="false">IF($D22="3F",$G22/3,IF($D22=J$9,$G22,0))</f>
        <v>0.24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0</v>
      </c>
      <c r="M22" s="12" t="n">
        <f aca="false">IF($D22="3F",$G22*1000/(3*$B$4*$E22),IF($D22=M$9,$G22*1000/($B$4*$E22),0))</f>
        <v>1.15942028985507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0.6</v>
      </c>
      <c r="D27" s="10" t="s">
        <v>19</v>
      </c>
      <c r="E27" s="9" t="n">
        <v>0.9</v>
      </c>
      <c r="F27" s="9" t="n">
        <v>0.9</v>
      </c>
      <c r="G27" s="11" t="n">
        <f aca="false">C27*F27</f>
        <v>0.54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0.54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2.60869565217391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0.5</v>
      </c>
      <c r="D30" s="10" t="s">
        <v>18</v>
      </c>
      <c r="E30" s="9" t="n">
        <v>0.95</v>
      </c>
      <c r="F30" s="9" t="n">
        <v>1</v>
      </c>
      <c r="G30" s="11" t="n">
        <f aca="false">C30*F30</f>
        <v>0.5</v>
      </c>
      <c r="H30" s="11" t="n">
        <f aca="false">IF($D30="3F",$G30/3,IF($D30=H$9,$G30,0))</f>
        <v>0</v>
      </c>
      <c r="I30" s="11" t="n">
        <f aca="false">IF($D30="3F",$G30/3,IF($D30=I$9,$G30,0))</f>
        <v>0.5</v>
      </c>
      <c r="J30" s="11" t="n">
        <f aca="false">IF($D30="3F",$G30/3,IF($D30=J$9,$G30,0))</f>
        <v>0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2.2883295194508</v>
      </c>
      <c r="M30" s="12" t="n">
        <f aca="false">IF($D30="3F",$G30*1000/(3*$B$4*$E30),IF($D30=M$9,$G30*1000/($B$4*$E30),0))</f>
        <v>0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0.3</v>
      </c>
      <c r="D31" s="10" t="s">
        <v>19</v>
      </c>
      <c r="E31" s="9" t="n">
        <v>0.95</v>
      </c>
      <c r="F31" s="9" t="n">
        <v>1</v>
      </c>
      <c r="G31" s="11" t="n">
        <f aca="false">C31*F31</f>
        <v>0.3</v>
      </c>
      <c r="H31" s="11" t="n">
        <f aca="false">IF($D31="3F",$G31/3,IF($D31=H$9,$G31,0))</f>
        <v>0</v>
      </c>
      <c r="I31" s="11" t="n">
        <f aca="false">IF($D31="3F",$G31/3,IF($D31=I$9,$G31,0))</f>
        <v>0</v>
      </c>
      <c r="J31" s="11" t="n">
        <f aca="false">IF($D31="3F",$G31/3,IF($D31=J$9,$G31,0))</f>
        <v>0.3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0</v>
      </c>
      <c r="M31" s="12" t="n">
        <f aca="false">IF($D31="3F",$G31*1000/(3*$B$4*$E31),IF($D31=M$9,$G31*1000/($B$4*$E31),0))</f>
        <v>1.37299771167048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</v>
      </c>
      <c r="D32" s="10" t="s">
        <v>67</v>
      </c>
      <c r="E32" s="9" t="n">
        <v>1</v>
      </c>
      <c r="F32" s="9" t="n">
        <v>1</v>
      </c>
      <c r="G32" s="11" t="n">
        <f aca="false">C32*F32</f>
        <v>0</v>
      </c>
      <c r="H32" s="11" t="n">
        <f aca="false">IF($D32="3F",$G32/3,IF($D32=H$9,$G32,0))</f>
        <v>0</v>
      </c>
      <c r="I32" s="11" t="n">
        <f aca="false">IF($D32="3F",$G32/3,IF($D32=I$9,$G32,0))</f>
        <v>0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0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68</v>
      </c>
      <c r="B33" s="8" t="s">
        <v>66</v>
      </c>
      <c r="C33" s="9" t="n">
        <v>0</v>
      </c>
      <c r="D33" s="10" t="s">
        <v>67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69</v>
      </c>
      <c r="B34" s="8" t="s">
        <v>66</v>
      </c>
      <c r="C34" s="9" t="n">
        <v>0</v>
      </c>
      <c r="D34" s="10" t="s">
        <v>67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14" t="s">
        <v>70</v>
      </c>
      <c r="B35" s="15"/>
      <c r="C35" s="16" t="n">
        <f aca="false">SUM(C10:C34)</f>
        <v>58.75</v>
      </c>
      <c r="D35" s="15"/>
      <c r="E35" s="15"/>
      <c r="F35" s="15"/>
      <c r="G35" s="16" t="n">
        <f aca="false">SUM(G10:G34)</f>
        <v>51.97</v>
      </c>
      <c r="H35" s="16" t="n">
        <f aca="false">SUM(H10:H34)</f>
        <v>17.355</v>
      </c>
      <c r="I35" s="16" t="n">
        <f aca="false">SUM(I10:I34)</f>
        <v>17.255</v>
      </c>
      <c r="J35" s="16" t="n">
        <f aca="false">SUM(J10:J34)</f>
        <v>17.36</v>
      </c>
      <c r="K35" s="17" t="n">
        <f aca="false">SUM(K10:K34)</f>
        <v>83.3320620391559</v>
      </c>
      <c r="L35" s="17" t="n">
        <f aca="false">SUM(L10:L34)</f>
        <v>83.230358504958</v>
      </c>
      <c r="M35" s="17" t="n">
        <f aca="false">SUM(M10:M34)</f>
        <v>83.7884566488685</v>
      </c>
    </row>
    <row r="37" customFormat="false" ht="15" hidden="false" customHeight="false" outlineLevel="0" collapsed="false">
      <c r="A37" s="3" t="s">
        <v>71</v>
      </c>
      <c r="B37" s="3"/>
      <c r="C37" s="3"/>
    </row>
    <row r="38" customFormat="false" ht="15" hidden="false" customHeight="false" outlineLevel="0" collapsed="false">
      <c r="A38" s="3" t="s">
        <v>12</v>
      </c>
      <c r="B38" s="18" t="n">
        <f aca="false">C35</f>
        <v>58.75</v>
      </c>
    </row>
    <row r="39" customFormat="false" ht="15" hidden="false" customHeight="false" outlineLevel="0" collapsed="false">
      <c r="A39" s="3" t="s">
        <v>16</v>
      </c>
      <c r="B39" s="18" t="n">
        <f aca="false">G35</f>
        <v>51.97</v>
      </c>
    </row>
    <row r="40" customFormat="false" ht="15" hidden="false" customHeight="false" outlineLevel="0" collapsed="false">
      <c r="A40" s="3" t="s">
        <v>72</v>
      </c>
      <c r="B40" s="18" t="n">
        <f aca="false">(MAX(H35:J35)-MIN(H35:J35))/AVERAGE(H35:J35)*100</f>
        <v>0.606118914758517</v>
      </c>
    </row>
    <row r="41" customFormat="false" ht="15" hidden="false" customHeight="false" outlineLevel="0" collapsed="false">
      <c r="A41" s="3" t="s">
        <v>73</v>
      </c>
      <c r="B41" s="19" t="str">
        <f aca="false">IF(B40&lt;=10,"UYGUN","UYGUN DEĞİL")</f>
        <v>UYGUN</v>
      </c>
    </row>
    <row r="42" customFormat="false" ht="15" hidden="false" customHeight="false" outlineLevel="0" collapsed="false">
      <c r="A42" s="3" t="s">
        <v>74</v>
      </c>
      <c r="B42" s="20" t="n">
        <f aca="false">MAX(K35:M35)</f>
        <v>83.7884566488685</v>
      </c>
    </row>
    <row r="43" customFormat="false" ht="15" hidden="false" customHeight="false" outlineLevel="0" collapsed="false">
      <c r="A43" s="3" t="s">
        <v>75</v>
      </c>
      <c r="B43" s="20" t="n">
        <f aca="false">AVERAGE(K35:M35)</f>
        <v>83.4502923976608</v>
      </c>
    </row>
    <row r="44" customFormat="false" ht="15" hidden="false" customHeight="false" outlineLevel="0" collapsed="false">
      <c r="A44" s="3" t="s">
        <v>76</v>
      </c>
      <c r="B44" s="21" t="n">
        <f aca="false">G35*1000/(SQRT(3)*B5*AVERAGE(K35:M35))</f>
        <v>0.898885211414368</v>
      </c>
    </row>
    <row r="45" customFormat="false" ht="15" hidden="false" customHeight="false" outlineLevel="0" collapsed="false">
      <c r="A45" s="3" t="s">
        <v>77</v>
      </c>
      <c r="B45" s="20" t="n">
        <f aca="false">SQRT(3)*B5*AVERAGE(K35:M35)/1000</f>
        <v>57.8160585356909</v>
      </c>
    </row>
    <row r="46" customFormat="false" ht="15" hidden="false" customHeight="false" outlineLevel="0" collapsed="false">
      <c r="A46" s="3" t="s">
        <v>78</v>
      </c>
      <c r="B46" s="19" t="str">
        <f aca="false">IF(B42&lt;=B6,"UYGUN","UYGUN DEĞİL")</f>
        <v>UYGUN</v>
      </c>
    </row>
    <row r="47" customFormat="false" ht="15" hidden="false" customHeight="false" outlineLevel="0" collapsed="false">
      <c r="A47" s="3" t="s">
        <v>79</v>
      </c>
      <c r="B47" s="20" t="n">
        <f aca="false">B45/250*100</f>
        <v>23.1264234142764</v>
      </c>
    </row>
    <row r="48" customFormat="false" ht="15" hidden="false" customHeight="false" outlineLevel="0" collapsed="false">
      <c r="A48" s="3" t="s">
        <v>80</v>
      </c>
      <c r="B48" s="20" t="n">
        <f aca="false">B42*(1+B7/100)</f>
        <v>104.735570811086</v>
      </c>
    </row>
    <row r="49" customFormat="false" ht="15" hidden="false" customHeight="false" outlineLevel="0" collapsed="false">
      <c r="A49" s="3" t="s">
        <v>81</v>
      </c>
      <c r="B49" s="19" t="str">
        <f aca="false">IF(B48&lt;=B6,"UYGUN","UYGUN DEĞİL")</f>
        <v>UYGUN</v>
      </c>
    </row>
    <row r="50" customFormat="false" ht="15" hidden="false" customHeight="false" outlineLevel="0" collapsed="false">
      <c r="A50" s="3" t="s">
        <v>82</v>
      </c>
      <c r="B50" s="20" t="n">
        <f aca="false">(B6-B42)/B6*100</f>
        <v>47.6322145944572</v>
      </c>
    </row>
    <row r="52" customFormat="false" ht="15" hidden="false" customHeight="false" outlineLevel="0" collapsed="false">
      <c r="A52" s="3" t="s">
        <v>83</v>
      </c>
    </row>
    <row r="53" customFormat="false" ht="35.05" hidden="false" customHeight="false" outlineLevel="0" collapsed="false">
      <c r="A53" s="7" t="s">
        <v>84</v>
      </c>
      <c r="B53" s="7" t="s">
        <v>85</v>
      </c>
      <c r="C53" s="7" t="s">
        <v>11</v>
      </c>
      <c r="D53" s="7" t="s">
        <v>16</v>
      </c>
      <c r="E53" s="7" t="s">
        <v>86</v>
      </c>
      <c r="F53" s="7" t="s">
        <v>87</v>
      </c>
      <c r="G53" s="7"/>
      <c r="H53" s="7" t="s">
        <v>88</v>
      </c>
      <c r="I53" s="7" t="s">
        <v>89</v>
      </c>
      <c r="J53" s="7" t="s">
        <v>90</v>
      </c>
    </row>
    <row r="54" customFormat="false" ht="15" hidden="false" customHeight="false" outlineLevel="0" collapsed="false">
      <c r="A54" s="22" t="n">
        <v>1</v>
      </c>
      <c r="B54" s="3" t="s">
        <v>33</v>
      </c>
      <c r="C54" s="8" t="s">
        <v>91</v>
      </c>
      <c r="D54" s="23" t="n">
        <v>2</v>
      </c>
      <c r="E54" s="24" t="s">
        <v>17</v>
      </c>
      <c r="F54" s="8" t="s">
        <v>92</v>
      </c>
      <c r="G54" s="8"/>
      <c r="H54" s="11" t="n">
        <v>2</v>
      </c>
      <c r="I54" s="11" t="n">
        <v>0</v>
      </c>
      <c r="J54" s="11" t="n">
        <v>0</v>
      </c>
    </row>
    <row r="55" customFormat="false" ht="15" hidden="false" customHeight="false" outlineLevel="0" collapsed="false">
      <c r="A55" s="22" t="n">
        <v>2</v>
      </c>
      <c r="B55" s="3" t="s">
        <v>35</v>
      </c>
      <c r="C55" s="8" t="s">
        <v>93</v>
      </c>
      <c r="D55" s="23" t="n">
        <v>1.5</v>
      </c>
      <c r="E55" s="24" t="s">
        <v>18</v>
      </c>
      <c r="F55" s="8" t="s">
        <v>94</v>
      </c>
      <c r="G55" s="8"/>
      <c r="H55" s="11" t="n">
        <v>2</v>
      </c>
      <c r="I55" s="11" t="n">
        <v>1.5</v>
      </c>
      <c r="J55" s="11" t="n">
        <v>0</v>
      </c>
    </row>
    <row r="56" customFormat="false" ht="15" hidden="false" customHeight="false" outlineLevel="0" collapsed="false">
      <c r="A56" s="22" t="n">
        <v>3</v>
      </c>
      <c r="B56" s="3" t="s">
        <v>37</v>
      </c>
      <c r="C56" s="8" t="s">
        <v>95</v>
      </c>
      <c r="D56" s="23" t="n">
        <v>1.5</v>
      </c>
      <c r="E56" s="24" t="s">
        <v>19</v>
      </c>
      <c r="F56" s="8" t="s">
        <v>94</v>
      </c>
      <c r="G56" s="8"/>
      <c r="H56" s="11" t="n">
        <v>2</v>
      </c>
      <c r="I56" s="11" t="n">
        <v>1.5</v>
      </c>
      <c r="J56" s="11" t="n">
        <v>1.5</v>
      </c>
    </row>
    <row r="57" customFormat="false" ht="15" hidden="false" customHeight="false" outlineLevel="0" collapsed="false">
      <c r="A57" s="22" t="n">
        <v>4</v>
      </c>
      <c r="B57" s="3" t="s">
        <v>39</v>
      </c>
      <c r="C57" s="8" t="s">
        <v>96</v>
      </c>
      <c r="D57" s="23" t="n">
        <v>1.5</v>
      </c>
      <c r="E57" s="24" t="s">
        <v>17</v>
      </c>
      <c r="F57" s="8" t="s">
        <v>94</v>
      </c>
      <c r="G57" s="8"/>
      <c r="H57" s="11" t="n">
        <v>3.5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5</v>
      </c>
      <c r="B58" s="3" t="s">
        <v>53</v>
      </c>
      <c r="C58" s="8" t="s">
        <v>54</v>
      </c>
      <c r="D58" s="23" t="n">
        <v>1.4</v>
      </c>
      <c r="E58" s="24" t="s">
        <v>18</v>
      </c>
      <c r="F58" s="8" t="s">
        <v>97</v>
      </c>
      <c r="G58" s="8"/>
      <c r="H58" s="11" t="n">
        <v>3.5</v>
      </c>
      <c r="I58" s="11" t="n">
        <v>2.9</v>
      </c>
      <c r="J58" s="11" t="n">
        <v>1.5</v>
      </c>
    </row>
    <row r="59" customFormat="false" ht="15" hidden="false" customHeight="false" outlineLevel="0" collapsed="false">
      <c r="A59" s="22" t="n">
        <v>6</v>
      </c>
      <c r="B59" s="3" t="s">
        <v>55</v>
      </c>
      <c r="C59" s="8" t="s">
        <v>98</v>
      </c>
      <c r="D59" s="23" t="n">
        <v>1.08</v>
      </c>
      <c r="E59" s="24" t="s">
        <v>19</v>
      </c>
      <c r="F59" s="8" t="s">
        <v>99</v>
      </c>
      <c r="G59" s="8"/>
      <c r="H59" s="11" t="n">
        <v>3.5</v>
      </c>
      <c r="I59" s="11" t="n">
        <v>2.9</v>
      </c>
      <c r="J59" s="11" t="n">
        <v>2.58</v>
      </c>
    </row>
    <row r="60" customFormat="false" ht="15" hidden="false" customHeight="false" outlineLevel="0" collapsed="false">
      <c r="A60" s="22" t="n">
        <v>8</v>
      </c>
      <c r="B60" s="3" t="s">
        <v>59</v>
      </c>
      <c r="C60" s="8" t="s">
        <v>60</v>
      </c>
      <c r="D60" s="23" t="n">
        <v>0.54</v>
      </c>
      <c r="E60" s="24" t="s">
        <v>19</v>
      </c>
      <c r="F60" s="8" t="s">
        <v>97</v>
      </c>
      <c r="G60" s="8"/>
      <c r="H60" s="11" t="n">
        <v>3.5</v>
      </c>
      <c r="I60" s="11" t="n">
        <v>2.9</v>
      </c>
      <c r="J60" s="11" t="n">
        <v>3.12</v>
      </c>
    </row>
    <row r="61" customFormat="false" ht="15" hidden="false" customHeight="false" outlineLevel="0" collapsed="false">
      <c r="A61" s="22" t="n">
        <v>9</v>
      </c>
      <c r="B61" s="3" t="s">
        <v>61</v>
      </c>
      <c r="C61" s="8" t="s">
        <v>62</v>
      </c>
      <c r="D61" s="23" t="n">
        <v>0.5</v>
      </c>
      <c r="E61" s="24" t="s">
        <v>18</v>
      </c>
      <c r="F61" s="8" t="s">
        <v>97</v>
      </c>
      <c r="G61" s="8"/>
      <c r="H61" s="11" t="n">
        <v>3.5</v>
      </c>
      <c r="I61" s="11" t="n">
        <v>3.4</v>
      </c>
      <c r="J61" s="11" t="n">
        <v>3.12</v>
      </c>
    </row>
    <row r="62" customFormat="false" ht="15" hidden="false" customHeight="false" outlineLevel="0" collapsed="false">
      <c r="A62" s="22" t="n">
        <v>10</v>
      </c>
      <c r="B62" s="3" t="s">
        <v>47</v>
      </c>
      <c r="C62" s="8" t="s">
        <v>100</v>
      </c>
      <c r="D62" s="23" t="n">
        <v>0.4</v>
      </c>
      <c r="E62" s="24" t="s">
        <v>19</v>
      </c>
      <c r="F62" s="8" t="s">
        <v>94</v>
      </c>
      <c r="G62" s="8"/>
      <c r="H62" s="11" t="n">
        <v>3.5</v>
      </c>
      <c r="I62" s="11" t="n">
        <v>3.4</v>
      </c>
      <c r="J62" s="11" t="n">
        <v>3.52</v>
      </c>
    </row>
    <row r="63" customFormat="false" ht="15" hidden="false" customHeight="false" outlineLevel="0" collapsed="false">
      <c r="A63" s="22" t="n">
        <v>11</v>
      </c>
      <c r="B63" s="3" t="s">
        <v>49</v>
      </c>
      <c r="C63" s="8" t="s">
        <v>101</v>
      </c>
      <c r="D63" s="23" t="n">
        <v>0.3</v>
      </c>
      <c r="E63" s="24" t="s">
        <v>18</v>
      </c>
      <c r="F63" s="8" t="s">
        <v>94</v>
      </c>
      <c r="G63" s="8"/>
      <c r="H63" s="11" t="n">
        <v>3.5</v>
      </c>
      <c r="I63" s="11" t="n">
        <v>3.7</v>
      </c>
      <c r="J63" s="11" t="n">
        <v>3.52</v>
      </c>
    </row>
    <row r="64" customFormat="false" ht="15" hidden="false" customHeight="false" outlineLevel="0" collapsed="false">
      <c r="A64" s="22" t="n">
        <v>12</v>
      </c>
      <c r="B64" s="3" t="s">
        <v>51</v>
      </c>
      <c r="C64" s="8" t="s">
        <v>102</v>
      </c>
      <c r="D64" s="23" t="n">
        <v>0.3</v>
      </c>
      <c r="E64" s="24" t="s">
        <v>17</v>
      </c>
      <c r="F64" s="8" t="s">
        <v>94</v>
      </c>
      <c r="G64" s="8"/>
      <c r="H64" s="11" t="n">
        <v>3.8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13</v>
      </c>
      <c r="B65" s="3" t="s">
        <v>63</v>
      </c>
      <c r="C65" s="8" t="s">
        <v>64</v>
      </c>
      <c r="D65" s="23" t="n">
        <v>0.3</v>
      </c>
      <c r="E65" s="24" t="s">
        <v>19</v>
      </c>
      <c r="F65" s="8" t="s">
        <v>97</v>
      </c>
      <c r="G65" s="8"/>
      <c r="H65" s="11" t="n">
        <v>3.8</v>
      </c>
      <c r="I65" s="11" t="n">
        <v>3.7</v>
      </c>
      <c r="J65" s="11" t="n">
        <v>3.82</v>
      </c>
    </row>
    <row r="66" customFormat="false" ht="15" hidden="false" customHeight="false" outlineLevel="0" collapsed="false">
      <c r="A66" s="22" t="n">
        <v>14</v>
      </c>
      <c r="B66" s="3" t="s">
        <v>41</v>
      </c>
      <c r="C66" s="8" t="s">
        <v>103</v>
      </c>
      <c r="D66" s="23" t="n">
        <v>0.255</v>
      </c>
      <c r="E66" s="24" t="s">
        <v>18</v>
      </c>
      <c r="F66" s="8" t="s">
        <v>94</v>
      </c>
      <c r="G66" s="8"/>
      <c r="H66" s="11" t="n">
        <v>3.8</v>
      </c>
      <c r="I66" s="11" t="n">
        <v>3.955</v>
      </c>
      <c r="J66" s="11" t="n">
        <v>3.82</v>
      </c>
    </row>
    <row r="67" customFormat="false" ht="15" hidden="false" customHeight="false" outlineLevel="0" collapsed="false">
      <c r="A67" s="22" t="n">
        <v>15</v>
      </c>
      <c r="B67" s="3" t="s">
        <v>43</v>
      </c>
      <c r="C67" s="8" t="s">
        <v>104</v>
      </c>
      <c r="D67" s="23" t="n">
        <v>0.255</v>
      </c>
      <c r="E67" s="24" t="s">
        <v>17</v>
      </c>
      <c r="F67" s="8" t="s">
        <v>94</v>
      </c>
      <c r="G67" s="8"/>
      <c r="H67" s="11" t="n">
        <v>4.055</v>
      </c>
      <c r="I67" s="11" t="n">
        <v>3.955</v>
      </c>
      <c r="J67" s="11" t="n">
        <v>3.82</v>
      </c>
    </row>
    <row r="68" customFormat="false" ht="15" hidden="false" customHeight="false" outlineLevel="0" collapsed="false">
      <c r="A68" s="22" t="n">
        <v>16</v>
      </c>
      <c r="B68" s="3" t="s">
        <v>45</v>
      </c>
      <c r="C68" s="8" t="s">
        <v>105</v>
      </c>
      <c r="D68" s="23" t="n">
        <v>0.24</v>
      </c>
      <c r="E68" s="24" t="s">
        <v>19</v>
      </c>
      <c r="F68" s="8" t="s">
        <v>94</v>
      </c>
      <c r="G68" s="8"/>
      <c r="H68" s="11" t="n">
        <v>4.055</v>
      </c>
      <c r="I68" s="11" t="n">
        <v>3.955</v>
      </c>
      <c r="J68" s="11" t="n">
        <v>4.06</v>
      </c>
    </row>
    <row r="69" customFormat="false" ht="15" hidden="false" customHeight="false" outlineLevel="0" collapsed="false">
      <c r="A69" s="25" t="s">
        <v>106</v>
      </c>
    </row>
  </sheetData>
  <mergeCells count="18">
    <mergeCell ref="H8:J8"/>
    <mergeCell ref="K8:M8"/>
    <mergeCell ref="A37:C37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</v>
      </c>
      <c r="W2" s="26" t="s">
        <v>108</v>
      </c>
    </row>
    <row r="3" customFormat="false" ht="15" hidden="false" customHeight="false" outlineLevel="0" collapsed="false">
      <c r="A3" s="3" t="s">
        <v>109</v>
      </c>
      <c r="B3" s="3"/>
      <c r="C3" s="3"/>
      <c r="D3" s="4" t="n">
        <v>44</v>
      </c>
      <c r="W3" s="6" t="s">
        <v>110</v>
      </c>
      <c r="X3" s="6" t="s">
        <v>111</v>
      </c>
      <c r="Y3" s="6" t="s">
        <v>112</v>
      </c>
      <c r="Z3" s="6" t="s">
        <v>113</v>
      </c>
    </row>
    <row r="4" customFormat="false" ht="15" hidden="false" customHeight="false" outlineLevel="0" collapsed="false">
      <c r="A4" s="3" t="s">
        <v>114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115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116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117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118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119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120</v>
      </c>
      <c r="B14" s="7" t="s">
        <v>121</v>
      </c>
      <c r="C14" s="7" t="s">
        <v>11</v>
      </c>
      <c r="D14" s="7" t="s">
        <v>122</v>
      </c>
      <c r="E14" s="7" t="s">
        <v>123</v>
      </c>
      <c r="F14" s="7" t="s">
        <v>124</v>
      </c>
      <c r="G14" s="7" t="s">
        <v>14</v>
      </c>
      <c r="H14" s="7" t="s">
        <v>125</v>
      </c>
      <c r="I14" s="7" t="s">
        <v>126</v>
      </c>
      <c r="J14" s="7" t="s">
        <v>110</v>
      </c>
      <c r="K14" s="7" t="s">
        <v>127</v>
      </c>
      <c r="L14" s="7" t="s">
        <v>128</v>
      </c>
      <c r="M14" s="7" t="s">
        <v>129</v>
      </c>
      <c r="N14" s="7" t="s">
        <v>130</v>
      </c>
      <c r="O14" s="7" t="s">
        <v>131</v>
      </c>
      <c r="P14" s="7" t="s">
        <v>132</v>
      </c>
      <c r="Q14" s="7" t="s">
        <v>133</v>
      </c>
      <c r="R14" s="7" t="s">
        <v>134</v>
      </c>
      <c r="S14" s="7" t="s">
        <v>135</v>
      </c>
      <c r="T14" s="7" t="s">
        <v>136</v>
      </c>
      <c r="U14" s="7" t="s">
        <v>137</v>
      </c>
      <c r="V14" s="7" t="s">
        <v>138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139</v>
      </c>
    </row>
    <row r="15" customFormat="false" ht="15" hidden="false" customHeight="false" outlineLevel="0" collapsed="false">
      <c r="A15" s="3" t="s">
        <v>140</v>
      </c>
      <c r="B15" s="3" t="s">
        <v>141</v>
      </c>
      <c r="C15" s="8" t="s">
        <v>142</v>
      </c>
      <c r="D15" s="8" t="s">
        <v>143</v>
      </c>
      <c r="E15" s="11" t="n">
        <f aca="false">'Yük Dengesi'!B39</f>
        <v>51.97</v>
      </c>
      <c r="F15" s="22" t="s">
        <v>22</v>
      </c>
      <c r="G15" s="23" t="n">
        <f aca="false">'Yük Dengesi'!B44</f>
        <v>0.898885211414368</v>
      </c>
      <c r="H15" s="12" t="n">
        <f aca="false">'Yük Dengesi'!B42</f>
        <v>83.7884566488685</v>
      </c>
      <c r="I15" s="8" t="s">
        <v>144</v>
      </c>
      <c r="J15" s="27" t="n">
        <v>95</v>
      </c>
      <c r="K15" s="27" t="n">
        <v>30</v>
      </c>
      <c r="L15" s="22" t="s">
        <v>113</v>
      </c>
      <c r="M15" s="8" t="s">
        <v>145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1.08887519301945</v>
      </c>
      <c r="R15" s="11" t="n">
        <f aca="false">Q15/IF(F15="3F",$D$5,$D$6)*100</f>
        <v>0.272218798254863</v>
      </c>
      <c r="S15" s="11" t="n">
        <v>0</v>
      </c>
      <c r="T15" s="11" t="n">
        <f aca="false">R15+S15</f>
        <v>0.272218798254863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146</v>
      </c>
      <c r="B16" s="3" t="s">
        <v>20</v>
      </c>
      <c r="C16" s="8" t="s">
        <v>21</v>
      </c>
      <c r="D16" s="22" t="s">
        <v>147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148</v>
      </c>
      <c r="J16" s="27" t="n">
        <v>4</v>
      </c>
      <c r="K16" s="27" t="n">
        <v>25</v>
      </c>
      <c r="L16" s="10" t="s">
        <v>112</v>
      </c>
      <c r="M16" s="8" t="s">
        <v>149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0.272218798254863</v>
      </c>
      <c r="T16" s="11" t="n">
        <f aca="false">R16+S16</f>
        <v>0.897905480308557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150</v>
      </c>
      <c r="B17" s="3" t="s">
        <v>23</v>
      </c>
      <c r="C17" s="8" t="s">
        <v>24</v>
      </c>
      <c r="D17" s="22" t="s">
        <v>147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148</v>
      </c>
      <c r="J17" s="27" t="n">
        <v>4</v>
      </c>
      <c r="K17" s="27" t="n">
        <v>25</v>
      </c>
      <c r="L17" s="10" t="s">
        <v>112</v>
      </c>
      <c r="M17" s="8" t="s">
        <v>149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0.272218798254863</v>
      </c>
      <c r="T17" s="11" t="n">
        <f aca="false">R17+S17</f>
        <v>0.897905480308557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151</v>
      </c>
      <c r="B18" s="3" t="s">
        <v>25</v>
      </c>
      <c r="C18" s="8" t="s">
        <v>26</v>
      </c>
      <c r="D18" s="22" t="s">
        <v>147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148</v>
      </c>
      <c r="J18" s="27" t="n">
        <v>4</v>
      </c>
      <c r="K18" s="27" t="n">
        <v>25</v>
      </c>
      <c r="L18" s="10" t="s">
        <v>112</v>
      </c>
      <c r="M18" s="8" t="s">
        <v>149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0.272218798254863</v>
      </c>
      <c r="T18" s="11" t="n">
        <f aca="false">R18+S18</f>
        <v>0.897905480308557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152</v>
      </c>
      <c r="B19" s="3" t="s">
        <v>27</v>
      </c>
      <c r="C19" s="8" t="s">
        <v>28</v>
      </c>
      <c r="D19" s="22" t="s">
        <v>147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148</v>
      </c>
      <c r="J19" s="27" t="n">
        <v>4</v>
      </c>
      <c r="K19" s="27" t="n">
        <v>25</v>
      </c>
      <c r="L19" s="10" t="s">
        <v>112</v>
      </c>
      <c r="M19" s="8" t="s">
        <v>149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0.272218798254863</v>
      </c>
      <c r="T19" s="11" t="n">
        <f aca="false">R19+S19</f>
        <v>0.897905480308557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153</v>
      </c>
      <c r="B20" s="3" t="s">
        <v>29</v>
      </c>
      <c r="C20" s="8" t="s">
        <v>30</v>
      </c>
      <c r="D20" s="22" t="s">
        <v>147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148</v>
      </c>
      <c r="J20" s="27" t="n">
        <v>4</v>
      </c>
      <c r="K20" s="27" t="n">
        <v>25</v>
      </c>
      <c r="L20" s="10" t="s">
        <v>112</v>
      </c>
      <c r="M20" s="8" t="s">
        <v>149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0.272218798254863</v>
      </c>
      <c r="T20" s="11" t="n">
        <f aca="false">R20+S20</f>
        <v>0.897905480308557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154</v>
      </c>
      <c r="B21" s="3" t="s">
        <v>31</v>
      </c>
      <c r="C21" s="8" t="s">
        <v>32</v>
      </c>
      <c r="D21" s="22" t="s">
        <v>147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148</v>
      </c>
      <c r="J21" s="27" t="n">
        <v>4</v>
      </c>
      <c r="K21" s="27" t="n">
        <v>25</v>
      </c>
      <c r="L21" s="10" t="s">
        <v>112</v>
      </c>
      <c r="M21" s="8" t="s">
        <v>149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0.272218798254863</v>
      </c>
      <c r="T21" s="11" t="n">
        <f aca="false">R21+S21</f>
        <v>0.897905480308557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155</v>
      </c>
      <c r="B22" s="3" t="s">
        <v>33</v>
      </c>
      <c r="C22" s="13" t="s">
        <v>34</v>
      </c>
      <c r="D22" s="22" t="s">
        <v>156</v>
      </c>
      <c r="E22" s="9" t="n">
        <v>2</v>
      </c>
      <c r="F22" s="10" t="s">
        <v>157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158</v>
      </c>
      <c r="J22" s="27" t="n">
        <v>16</v>
      </c>
      <c r="K22" s="27" t="n">
        <v>100</v>
      </c>
      <c r="L22" s="10" t="s">
        <v>111</v>
      </c>
      <c r="M22" s="8" t="s">
        <v>159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0.272218798254863</v>
      </c>
      <c r="T22" s="11" t="n">
        <f aca="false">R22+S22</f>
        <v>1.36616909985702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160</v>
      </c>
      <c r="B23" s="3" t="s">
        <v>35</v>
      </c>
      <c r="C23" s="13" t="s">
        <v>36</v>
      </c>
      <c r="D23" s="22" t="s">
        <v>147</v>
      </c>
      <c r="E23" s="9" t="n">
        <v>3</v>
      </c>
      <c r="F23" s="10" t="s">
        <v>157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158</v>
      </c>
      <c r="J23" s="27" t="n">
        <v>16</v>
      </c>
      <c r="K23" s="27" t="n">
        <v>266.666666666667</v>
      </c>
      <c r="L23" s="10" t="s">
        <v>111</v>
      </c>
      <c r="M23" s="8" t="s">
        <v>159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0.272218798254863</v>
      </c>
      <c r="T23" s="11" t="n">
        <f aca="false">R23+S23</f>
        <v>2.47894895151244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161</v>
      </c>
      <c r="B24" s="3" t="s">
        <v>37</v>
      </c>
      <c r="C24" s="13" t="s">
        <v>38</v>
      </c>
      <c r="D24" s="22" t="s">
        <v>147</v>
      </c>
      <c r="E24" s="9" t="n">
        <v>3</v>
      </c>
      <c r="F24" s="10" t="s">
        <v>157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158</v>
      </c>
      <c r="J24" s="27" t="n">
        <v>16</v>
      </c>
      <c r="K24" s="27" t="n">
        <v>266.666666666667</v>
      </c>
      <c r="L24" s="10" t="s">
        <v>111</v>
      </c>
      <c r="M24" s="8" t="s">
        <v>159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0.272218798254863</v>
      </c>
      <c r="T24" s="11" t="n">
        <f aca="false">R24+S24</f>
        <v>2.47894895151244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162</v>
      </c>
      <c r="B25" s="3" t="s">
        <v>39</v>
      </c>
      <c r="C25" s="13" t="s">
        <v>40</v>
      </c>
      <c r="D25" s="22" t="s">
        <v>147</v>
      </c>
      <c r="E25" s="9" t="n">
        <v>3</v>
      </c>
      <c r="F25" s="10" t="s">
        <v>157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158</v>
      </c>
      <c r="J25" s="27" t="n">
        <v>16</v>
      </c>
      <c r="K25" s="27" t="n">
        <v>266.666666666667</v>
      </c>
      <c r="L25" s="10" t="s">
        <v>111</v>
      </c>
      <c r="M25" s="8" t="s">
        <v>159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0.272218798254863</v>
      </c>
      <c r="T25" s="11" t="n">
        <f aca="false">R25+S25</f>
        <v>2.47894895151244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163</v>
      </c>
      <c r="B26" s="3" t="s">
        <v>41</v>
      </c>
      <c r="C26" s="13" t="s">
        <v>42</v>
      </c>
      <c r="D26" s="22" t="s">
        <v>156</v>
      </c>
      <c r="E26" s="9" t="n">
        <v>0.255</v>
      </c>
      <c r="F26" s="10" t="s">
        <v>157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164</v>
      </c>
      <c r="J26" s="27" t="n">
        <v>2.5</v>
      </c>
      <c r="K26" s="27" t="n">
        <v>266.666666666667</v>
      </c>
      <c r="L26" s="10" t="s">
        <v>111</v>
      </c>
      <c r="M26" s="8" t="s">
        <v>165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0.272218798254863</v>
      </c>
      <c r="T26" s="11" t="n">
        <f aca="false">R26+S26</f>
        <v>1.44578501835342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166</v>
      </c>
      <c r="B27" s="3" t="s">
        <v>43</v>
      </c>
      <c r="C27" s="13" t="s">
        <v>44</v>
      </c>
      <c r="D27" s="22" t="s">
        <v>156</v>
      </c>
      <c r="E27" s="9" t="n">
        <v>0.255</v>
      </c>
      <c r="F27" s="10" t="s">
        <v>157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164</v>
      </c>
      <c r="J27" s="27" t="n">
        <v>2.5</v>
      </c>
      <c r="K27" s="27" t="n">
        <v>266.666666666667</v>
      </c>
      <c r="L27" s="10" t="s">
        <v>111</v>
      </c>
      <c r="M27" s="8" t="s">
        <v>165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0.272218798254863</v>
      </c>
      <c r="T27" s="11" t="n">
        <f aca="false">R27+S27</f>
        <v>1.44578501835342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167</v>
      </c>
      <c r="B28" s="3" t="s">
        <v>45</v>
      </c>
      <c r="C28" s="13" t="s">
        <v>46</v>
      </c>
      <c r="D28" s="22" t="s">
        <v>156</v>
      </c>
      <c r="E28" s="9" t="n">
        <v>0.24</v>
      </c>
      <c r="F28" s="10" t="s">
        <v>157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164</v>
      </c>
      <c r="J28" s="27" t="n">
        <v>2.5</v>
      </c>
      <c r="K28" s="27" t="n">
        <v>266.666666666667</v>
      </c>
      <c r="L28" s="10" t="s">
        <v>111</v>
      </c>
      <c r="M28" s="8" t="s">
        <v>165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0.272218798254863</v>
      </c>
      <c r="T28" s="11" t="n">
        <f aca="false">R28+S28</f>
        <v>1.3767517112888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168</v>
      </c>
      <c r="B29" s="3" t="s">
        <v>47</v>
      </c>
      <c r="C29" s="13" t="s">
        <v>48</v>
      </c>
      <c r="D29" s="22" t="s">
        <v>147</v>
      </c>
      <c r="E29" s="9" t="n">
        <v>0.4</v>
      </c>
      <c r="F29" s="10" t="s">
        <v>157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164</v>
      </c>
      <c r="J29" s="27" t="n">
        <v>2.5</v>
      </c>
      <c r="K29" s="27" t="n">
        <v>66.6666666666667</v>
      </c>
      <c r="L29" s="10" t="s">
        <v>111</v>
      </c>
      <c r="M29" s="8" t="s">
        <v>165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0.272218798254863</v>
      </c>
      <c r="T29" s="11" t="n">
        <f aca="false">R29+S29</f>
        <v>0.732440845352336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169</v>
      </c>
      <c r="B30" s="3" t="s">
        <v>49</v>
      </c>
      <c r="C30" s="13" t="s">
        <v>50</v>
      </c>
      <c r="D30" s="22" t="s">
        <v>147</v>
      </c>
      <c r="E30" s="9" t="n">
        <v>0.3</v>
      </c>
      <c r="F30" s="10" t="s">
        <v>157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164</v>
      </c>
      <c r="J30" s="27" t="n">
        <v>2.5</v>
      </c>
      <c r="K30" s="27" t="n">
        <v>66.6666666666667</v>
      </c>
      <c r="L30" s="10" t="s">
        <v>111</v>
      </c>
      <c r="M30" s="8" t="s">
        <v>165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0.272218798254863</v>
      </c>
      <c r="T30" s="11" t="n">
        <f aca="false">R30+S30</f>
        <v>0.617385333577967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170</v>
      </c>
      <c r="B31" s="3" t="s">
        <v>51</v>
      </c>
      <c r="C31" s="13" t="s">
        <v>52</v>
      </c>
      <c r="D31" s="22" t="s">
        <v>147</v>
      </c>
      <c r="E31" s="9" t="n">
        <v>0.3</v>
      </c>
      <c r="F31" s="10" t="s">
        <v>157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164</v>
      </c>
      <c r="J31" s="27" t="n">
        <v>2.5</v>
      </c>
      <c r="K31" s="27" t="n">
        <v>66.6666666666667</v>
      </c>
      <c r="L31" s="10" t="s">
        <v>111</v>
      </c>
      <c r="M31" s="8" t="s">
        <v>165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0.272218798254863</v>
      </c>
      <c r="T31" s="11" t="n">
        <f aca="false">R31+S31</f>
        <v>0.617385333577967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171</v>
      </c>
      <c r="B32" s="3" t="s">
        <v>53</v>
      </c>
      <c r="C32" s="8" t="s">
        <v>54</v>
      </c>
      <c r="D32" s="22" t="s">
        <v>147</v>
      </c>
      <c r="E32" s="9" t="n">
        <v>1.4</v>
      </c>
      <c r="F32" s="10" t="s">
        <v>157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164</v>
      </c>
      <c r="J32" s="27" t="n">
        <v>2.5</v>
      </c>
      <c r="K32" s="27" t="n">
        <v>28</v>
      </c>
      <c r="L32" s="10" t="s">
        <v>111</v>
      </c>
      <c r="M32" s="8" t="s">
        <v>165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0.272218798254863</v>
      </c>
      <c r="T32" s="11" t="n">
        <f aca="false">R32+S32</f>
        <v>1.62527161672143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172</v>
      </c>
      <c r="B33" s="3" t="s">
        <v>55</v>
      </c>
      <c r="C33" s="8" t="s">
        <v>56</v>
      </c>
      <c r="D33" s="22" t="s">
        <v>147</v>
      </c>
      <c r="E33" s="9" t="n">
        <v>0.6</v>
      </c>
      <c r="F33" s="10" t="s">
        <v>157</v>
      </c>
      <c r="G33" s="9" t="n">
        <v>0.9</v>
      </c>
      <c r="H33" s="11" t="n">
        <f aca="false">IF(F33="3F",E33*1000/(SQRT(3)*$D$5*G33),E33*1000/($D$6*G33))</f>
        <v>2.89855072463768</v>
      </c>
      <c r="I33" s="8" t="s">
        <v>164</v>
      </c>
      <c r="J33" s="27" t="n">
        <v>2.5</v>
      </c>
      <c r="K33" s="27" t="n">
        <v>100</v>
      </c>
      <c r="L33" s="10" t="s">
        <v>111</v>
      </c>
      <c r="M33" s="8" t="s">
        <v>173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4.76329818745885</v>
      </c>
      <c r="R33" s="11" t="n">
        <f aca="false">Q33/IF(F33="3F",$D$5,$D$6)*100</f>
        <v>2.07099921193863</v>
      </c>
      <c r="S33" s="11" t="n">
        <f aca="false">$R$15</f>
        <v>0.272218798254863</v>
      </c>
      <c r="T33" s="11" t="n">
        <f aca="false">R33+S33</f>
        <v>2.34321801019349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174</v>
      </c>
      <c r="B34" s="3" t="s">
        <v>57</v>
      </c>
      <c r="C34" s="8" t="s">
        <v>58</v>
      </c>
      <c r="D34" s="22" t="s">
        <v>147</v>
      </c>
      <c r="E34" s="9" t="n">
        <v>0.6</v>
      </c>
      <c r="F34" s="10" t="s">
        <v>157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164</v>
      </c>
      <c r="J34" s="27" t="n">
        <v>2.5</v>
      </c>
      <c r="K34" s="27" t="n">
        <v>100</v>
      </c>
      <c r="L34" s="10" t="s">
        <v>111</v>
      </c>
      <c r="M34" s="8" t="s">
        <v>173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0.272218798254863</v>
      </c>
      <c r="T34" s="11" t="n">
        <f aca="false">R34+S34</f>
        <v>2.34321801019349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175</v>
      </c>
      <c r="B35" s="3" t="s">
        <v>59</v>
      </c>
      <c r="C35" s="8" t="s">
        <v>60</v>
      </c>
      <c r="D35" s="22" t="s">
        <v>147</v>
      </c>
      <c r="E35" s="9" t="n">
        <v>0.6</v>
      </c>
      <c r="F35" s="10" t="s">
        <v>157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164</v>
      </c>
      <c r="J35" s="27" t="n">
        <v>2.5</v>
      </c>
      <c r="K35" s="27" t="n">
        <v>100</v>
      </c>
      <c r="L35" s="10" t="s">
        <v>111</v>
      </c>
      <c r="M35" s="8" t="s">
        <v>165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0.272218798254863</v>
      </c>
      <c r="T35" s="11" t="n">
        <f aca="false">R35+S35</f>
        <v>2.34321801019349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176</v>
      </c>
      <c r="B36" s="3" t="s">
        <v>61</v>
      </c>
      <c r="C36" s="8" t="s">
        <v>62</v>
      </c>
      <c r="D36" s="22" t="s">
        <v>156</v>
      </c>
      <c r="E36" s="9" t="n">
        <v>0.5</v>
      </c>
      <c r="F36" s="10" t="s">
        <v>157</v>
      </c>
      <c r="G36" s="9" t="n">
        <v>0.95</v>
      </c>
      <c r="H36" s="11" t="n">
        <f aca="false">IF(F36="3F",E36*1000/(SQRT(3)*$D$5*G36),E36*1000/($D$6*G36))</f>
        <v>2.2883295194508</v>
      </c>
      <c r="I36" s="8" t="s">
        <v>177</v>
      </c>
      <c r="J36" s="27" t="n">
        <v>2.5</v>
      </c>
      <c r="K36" s="27" t="n">
        <v>35</v>
      </c>
      <c r="L36" s="10" t="s">
        <v>111</v>
      </c>
      <c r="M36" s="8" t="s">
        <v>165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1.38740058120139</v>
      </c>
      <c r="R36" s="11" t="n">
        <f aca="false">Q36/IF(F36="3F",$D$5,$D$6)*100</f>
        <v>0.603217644000603</v>
      </c>
      <c r="S36" s="11" t="n">
        <f aca="false">$R$15</f>
        <v>0.272218798254863</v>
      </c>
      <c r="T36" s="11" t="n">
        <f aca="false">R36+S36</f>
        <v>0.875436442255466</v>
      </c>
      <c r="U36" s="11" t="n">
        <f aca="false">IF(D36="aydınlatma",$D$10,$D$9)</f>
        <v>2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178</v>
      </c>
      <c r="B37" s="3" t="s">
        <v>63</v>
      </c>
      <c r="C37" s="8" t="s">
        <v>64</v>
      </c>
      <c r="D37" s="22" t="s">
        <v>147</v>
      </c>
      <c r="E37" s="9" t="n">
        <v>0.3</v>
      </c>
      <c r="F37" s="10" t="s">
        <v>157</v>
      </c>
      <c r="G37" s="9" t="n">
        <v>0.95</v>
      </c>
      <c r="H37" s="11" t="n">
        <f aca="false">IF(F37="3F",E37*1000/(SQRT(3)*$D$5*G37),E37*1000/($D$6*G37))</f>
        <v>1.37299771167048</v>
      </c>
      <c r="I37" s="8" t="s">
        <v>177</v>
      </c>
      <c r="J37" s="27" t="n">
        <v>2.5</v>
      </c>
      <c r="K37" s="27" t="n">
        <v>35</v>
      </c>
      <c r="L37" s="10" t="s">
        <v>111</v>
      </c>
      <c r="M37" s="8" t="s">
        <v>165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0.832440348720832</v>
      </c>
      <c r="R37" s="11" t="n">
        <f aca="false">Q37/IF(F37="3F",$D$5,$D$6)*100</f>
        <v>0.361930586400362</v>
      </c>
      <c r="S37" s="11" t="n">
        <f aca="false">$R$15</f>
        <v>0.272218798254863</v>
      </c>
      <c r="T37" s="11" t="n">
        <f aca="false">R37+S37</f>
        <v>0.634149384655224</v>
      </c>
      <c r="U37" s="11" t="n">
        <f aca="false">IF(D37="aydınlatma",$D$10,$D$9)</f>
        <v>3</v>
      </c>
      <c r="V37" s="24" t="str">
        <f aca="false">IF(AND(H37&lt;=N37,N37&lt;=P37,T37&lt;=U37),"UYGUN","UYGUN DEĞİL")</f>
        <v>UYGUN</v>
      </c>
      <c r="AA37" s="9" t="n">
        <v>1</v>
      </c>
    </row>
    <row r="39" customFormat="false" ht="15" hidden="false" customHeight="false" outlineLevel="0" collapsed="false">
      <c r="A39" s="25" t="s">
        <v>179</v>
      </c>
    </row>
    <row r="40" customFormat="false" ht="15" hidden="false" customHeight="false" outlineLevel="0" collapsed="false">
      <c r="A40" s="25" t="s">
        <v>180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182</v>
      </c>
      <c r="C4" s="6" t="s">
        <v>183</v>
      </c>
      <c r="D4" s="6" t="s">
        <v>184</v>
      </c>
      <c r="E4" s="6" t="s">
        <v>185</v>
      </c>
      <c r="F4" s="6" t="s">
        <v>186</v>
      </c>
    </row>
    <row r="5" customFormat="false" ht="15" hidden="false" customHeight="false" outlineLevel="0" collapsed="false">
      <c r="A5" s="14" t="s">
        <v>187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188</v>
      </c>
      <c r="B6" s="13" t="s">
        <v>189</v>
      </c>
      <c r="C6" s="22" t="n">
        <v>1</v>
      </c>
      <c r="D6" s="13" t="s">
        <v>190</v>
      </c>
      <c r="E6" s="22" t="s">
        <v>191</v>
      </c>
      <c r="F6" s="22" t="s">
        <v>192</v>
      </c>
    </row>
    <row r="7" customFormat="false" ht="15" hidden="false" customHeight="false" outlineLevel="0" collapsed="false">
      <c r="A7" s="28" t="s">
        <v>141</v>
      </c>
      <c r="B7" s="13" t="s">
        <v>193</v>
      </c>
      <c r="C7" s="22" t="n">
        <v>1</v>
      </c>
      <c r="D7" s="13" t="s">
        <v>194</v>
      </c>
      <c r="E7" s="22" t="s">
        <v>191</v>
      </c>
      <c r="F7" s="22" t="s">
        <v>195</v>
      </c>
    </row>
    <row r="8" customFormat="false" ht="15" hidden="false" customHeight="false" outlineLevel="0" collapsed="false">
      <c r="A8" s="28" t="s">
        <v>196</v>
      </c>
      <c r="B8" s="13" t="s">
        <v>197</v>
      </c>
      <c r="C8" s="22" t="n">
        <v>1</v>
      </c>
      <c r="D8" s="13" t="s">
        <v>198</v>
      </c>
      <c r="E8" s="22" t="s">
        <v>191</v>
      </c>
      <c r="F8" s="22" t="s">
        <v>195</v>
      </c>
    </row>
    <row r="9" customFormat="false" ht="15" hidden="false" customHeight="false" outlineLevel="0" collapsed="false">
      <c r="A9" s="28" t="s">
        <v>199</v>
      </c>
      <c r="B9" s="13" t="s">
        <v>200</v>
      </c>
      <c r="C9" s="22" t="n">
        <v>1</v>
      </c>
      <c r="D9" s="13" t="s">
        <v>201</v>
      </c>
      <c r="E9" s="22" t="s">
        <v>191</v>
      </c>
      <c r="F9" s="22" t="s">
        <v>195</v>
      </c>
    </row>
    <row r="10" customFormat="false" ht="15" hidden="false" customHeight="false" outlineLevel="0" collapsed="false">
      <c r="A10" s="28" t="s">
        <v>202</v>
      </c>
      <c r="B10" s="13" t="s">
        <v>203</v>
      </c>
      <c r="C10" s="22" t="n">
        <v>1</v>
      </c>
      <c r="D10" s="13" t="s">
        <v>204</v>
      </c>
      <c r="E10" s="22" t="s">
        <v>191</v>
      </c>
      <c r="F10" s="22" t="s">
        <v>195</v>
      </c>
    </row>
    <row r="11" customFormat="false" ht="15" hidden="false" customHeight="false" outlineLevel="0" collapsed="false">
      <c r="A11" s="28" t="s">
        <v>205</v>
      </c>
      <c r="B11" s="13" t="s">
        <v>206</v>
      </c>
      <c r="C11" s="22" t="n">
        <v>1</v>
      </c>
      <c r="D11" s="13" t="s">
        <v>207</v>
      </c>
      <c r="E11" s="22" t="s">
        <v>191</v>
      </c>
      <c r="F11" s="22" t="s">
        <v>195</v>
      </c>
    </row>
    <row r="12" customFormat="false" ht="15" hidden="false" customHeight="false" outlineLevel="0" collapsed="false">
      <c r="A12" s="28" t="s">
        <v>208</v>
      </c>
      <c r="B12" s="13" t="s">
        <v>209</v>
      </c>
      <c r="C12" s="22" t="n">
        <v>1</v>
      </c>
      <c r="D12" s="13" t="s">
        <v>210</v>
      </c>
      <c r="E12" s="22" t="s">
        <v>191</v>
      </c>
      <c r="F12" s="22" t="s">
        <v>195</v>
      </c>
    </row>
    <row r="13" customFormat="false" ht="15" hidden="false" customHeight="false" outlineLevel="0" collapsed="false">
      <c r="A13" s="28" t="s">
        <v>211</v>
      </c>
      <c r="B13" s="13" t="s">
        <v>212</v>
      </c>
      <c r="C13" s="22" t="n">
        <v>1</v>
      </c>
      <c r="D13" s="13" t="s">
        <v>213</v>
      </c>
      <c r="E13" s="22" t="s">
        <v>191</v>
      </c>
      <c r="F13" s="22" t="s">
        <v>195</v>
      </c>
    </row>
    <row r="14" customFormat="false" ht="15" hidden="false" customHeight="false" outlineLevel="0" collapsed="false">
      <c r="A14" s="28" t="s">
        <v>214</v>
      </c>
      <c r="B14" s="13" t="s">
        <v>215</v>
      </c>
      <c r="C14" s="22" t="n">
        <v>1</v>
      </c>
      <c r="D14" s="13" t="s">
        <v>216</v>
      </c>
      <c r="E14" s="22" t="s">
        <v>191</v>
      </c>
      <c r="F14" s="22" t="s">
        <v>195</v>
      </c>
    </row>
    <row r="15" customFormat="false" ht="15" hidden="false" customHeight="false" outlineLevel="0" collapsed="false">
      <c r="A15" s="28" t="s">
        <v>217</v>
      </c>
      <c r="B15" s="13" t="s">
        <v>218</v>
      </c>
      <c r="C15" s="22" t="n">
        <v>3</v>
      </c>
      <c r="D15" s="13" t="s">
        <v>219</v>
      </c>
      <c r="E15" s="22" t="s">
        <v>191</v>
      </c>
      <c r="F15" s="22" t="s">
        <v>195</v>
      </c>
    </row>
    <row r="16" customFormat="false" ht="15" hidden="false" customHeight="false" outlineLevel="0" collapsed="false">
      <c r="A16" s="28" t="s">
        <v>220</v>
      </c>
      <c r="B16" s="13" t="s">
        <v>221</v>
      </c>
      <c r="C16" s="22" t="n">
        <v>1</v>
      </c>
      <c r="D16" s="13" t="s">
        <v>222</v>
      </c>
      <c r="E16" s="22" t="s">
        <v>191</v>
      </c>
      <c r="F16" s="22" t="s">
        <v>195</v>
      </c>
    </row>
    <row r="17" customFormat="false" ht="15" hidden="false" customHeight="false" outlineLevel="0" collapsed="false">
      <c r="A17" s="28" t="s">
        <v>223</v>
      </c>
      <c r="B17" s="13" t="s">
        <v>224</v>
      </c>
      <c r="C17" s="22" t="n">
        <v>1</v>
      </c>
      <c r="D17" s="13" t="s">
        <v>225</v>
      </c>
      <c r="E17" s="22" t="s">
        <v>191</v>
      </c>
      <c r="F17" s="22" t="s">
        <v>195</v>
      </c>
    </row>
    <row r="18" customFormat="false" ht="15" hidden="false" customHeight="false" outlineLevel="0" collapsed="false">
      <c r="A18" s="28" t="s">
        <v>226</v>
      </c>
      <c r="B18" s="13" t="s">
        <v>227</v>
      </c>
      <c r="C18" s="22" t="n">
        <v>1</v>
      </c>
      <c r="D18" s="13" t="s">
        <v>225</v>
      </c>
      <c r="E18" s="22" t="s">
        <v>191</v>
      </c>
      <c r="F18" s="22" t="s">
        <v>195</v>
      </c>
    </row>
    <row r="19" customFormat="false" ht="15" hidden="false" customHeight="false" outlineLevel="0" collapsed="false">
      <c r="A19" s="28" t="s">
        <v>228</v>
      </c>
      <c r="B19" s="13" t="s">
        <v>229</v>
      </c>
      <c r="C19" s="22" t="n">
        <v>1</v>
      </c>
      <c r="D19" s="13" t="s">
        <v>230</v>
      </c>
      <c r="E19" s="22" t="s">
        <v>191</v>
      </c>
      <c r="F19" s="22" t="s">
        <v>195</v>
      </c>
    </row>
    <row r="20" customFormat="false" ht="15" hidden="false" customHeight="false" outlineLevel="0" collapsed="false">
      <c r="A20" s="28" t="s">
        <v>231</v>
      </c>
      <c r="B20" s="13" t="s">
        <v>232</v>
      </c>
      <c r="C20" s="22" t="n">
        <v>1</v>
      </c>
      <c r="D20" s="13" t="s">
        <v>233</v>
      </c>
      <c r="E20" s="22" t="s">
        <v>191</v>
      </c>
      <c r="F20" s="22" t="s">
        <v>195</v>
      </c>
    </row>
    <row r="21" customFormat="false" ht="15" hidden="false" customHeight="false" outlineLevel="0" collapsed="false">
      <c r="A21" s="28" t="s">
        <v>234</v>
      </c>
      <c r="B21" s="13" t="s">
        <v>235</v>
      </c>
      <c r="C21" s="22" t="n">
        <v>3</v>
      </c>
      <c r="D21" s="13" t="s">
        <v>236</v>
      </c>
      <c r="E21" s="22" t="s">
        <v>191</v>
      </c>
      <c r="F21" s="22" t="s">
        <v>195</v>
      </c>
    </row>
    <row r="22" customFormat="false" ht="15" hidden="false" customHeight="false" outlineLevel="0" collapsed="false">
      <c r="A22" s="28" t="s">
        <v>237</v>
      </c>
      <c r="B22" s="13" t="s">
        <v>238</v>
      </c>
      <c r="C22" s="22" t="n">
        <v>1</v>
      </c>
      <c r="D22" s="13" t="s">
        <v>239</v>
      </c>
      <c r="E22" s="22" t="s">
        <v>191</v>
      </c>
      <c r="F22" s="22" t="s">
        <v>195</v>
      </c>
    </row>
    <row r="23" customFormat="false" ht="15" hidden="false" customHeight="false" outlineLevel="0" collapsed="false">
      <c r="A23" s="28" t="s">
        <v>240</v>
      </c>
      <c r="B23" s="13" t="s">
        <v>241</v>
      </c>
      <c r="C23" s="22" t="n">
        <v>1</v>
      </c>
      <c r="D23" s="13" t="s">
        <v>242</v>
      </c>
      <c r="E23" s="22" t="s">
        <v>191</v>
      </c>
      <c r="F23" s="22" t="s">
        <v>195</v>
      </c>
    </row>
    <row r="24" customFormat="false" ht="15" hidden="false" customHeight="false" outlineLevel="0" collapsed="false">
      <c r="A24" s="28" t="s">
        <v>243</v>
      </c>
      <c r="B24" s="13" t="s">
        <v>244</v>
      </c>
      <c r="C24" s="22" t="n">
        <v>1</v>
      </c>
      <c r="D24" s="13" t="s">
        <v>245</v>
      </c>
      <c r="E24" s="22" t="s">
        <v>191</v>
      </c>
      <c r="F24" s="22" t="s">
        <v>195</v>
      </c>
    </row>
    <row r="25" customFormat="false" ht="15" hidden="false" customHeight="false" outlineLevel="0" collapsed="false">
      <c r="A25" s="28" t="s">
        <v>246</v>
      </c>
      <c r="B25" s="13" t="s">
        <v>247</v>
      </c>
      <c r="C25" s="22" t="n">
        <v>1</v>
      </c>
      <c r="D25" s="13" t="s">
        <v>248</v>
      </c>
      <c r="E25" s="22" t="s">
        <v>191</v>
      </c>
      <c r="F25" s="22" t="s">
        <v>195</v>
      </c>
    </row>
    <row r="26" customFormat="false" ht="15" hidden="false" customHeight="false" outlineLevel="0" collapsed="false">
      <c r="A26" s="28" t="s">
        <v>249</v>
      </c>
      <c r="B26" s="13" t="s">
        <v>250</v>
      </c>
      <c r="C26" s="22" t="n">
        <v>1</v>
      </c>
      <c r="D26" s="13" t="s">
        <v>251</v>
      </c>
      <c r="E26" s="22" t="s">
        <v>191</v>
      </c>
      <c r="F26" s="22" t="s">
        <v>195</v>
      </c>
    </row>
    <row r="27" customFormat="false" ht="15" hidden="false" customHeight="false" outlineLevel="0" collapsed="false">
      <c r="A27" s="28" t="s">
        <v>252</v>
      </c>
      <c r="B27" s="13" t="s">
        <v>253</v>
      </c>
      <c r="C27" s="22" t="n">
        <v>1</v>
      </c>
      <c r="D27" s="13" t="s">
        <v>254</v>
      </c>
      <c r="E27" s="22" t="s">
        <v>191</v>
      </c>
      <c r="F27" s="22" t="s">
        <v>195</v>
      </c>
    </row>
    <row r="28" customFormat="false" ht="15" hidden="false" customHeight="false" outlineLevel="0" collapsed="false">
      <c r="A28" s="28" t="s">
        <v>255</v>
      </c>
      <c r="B28" s="13" t="s">
        <v>256</v>
      </c>
      <c r="C28" s="22" t="n">
        <v>1</v>
      </c>
      <c r="D28" s="13" t="s">
        <v>257</v>
      </c>
      <c r="E28" s="22" t="s">
        <v>191</v>
      </c>
      <c r="F28" s="22" t="s">
        <v>195</v>
      </c>
    </row>
    <row r="29" customFormat="false" ht="15" hidden="false" customHeight="false" outlineLevel="0" collapsed="false">
      <c r="A29" s="28" t="s">
        <v>258</v>
      </c>
      <c r="B29" s="13" t="s">
        <v>259</v>
      </c>
      <c r="C29" s="22" t="n">
        <v>1</v>
      </c>
      <c r="D29" s="13" t="s">
        <v>260</v>
      </c>
      <c r="E29" s="22" t="s">
        <v>191</v>
      </c>
      <c r="F29" s="22" t="s">
        <v>195</v>
      </c>
    </row>
    <row r="30" customFormat="false" ht="15" hidden="false" customHeight="false" outlineLevel="0" collapsed="false">
      <c r="A30" s="28" t="s">
        <v>261</v>
      </c>
      <c r="B30" s="13" t="s">
        <v>262</v>
      </c>
      <c r="C30" s="22" t="n">
        <v>1</v>
      </c>
      <c r="D30" s="13" t="s">
        <v>263</v>
      </c>
      <c r="E30" s="22" t="s">
        <v>191</v>
      </c>
      <c r="F30" s="22" t="s">
        <v>195</v>
      </c>
    </row>
    <row r="31" customFormat="false" ht="15" hidden="false" customHeight="false" outlineLevel="0" collapsed="false">
      <c r="A31" s="28" t="s">
        <v>264</v>
      </c>
      <c r="B31" s="13" t="s">
        <v>265</v>
      </c>
      <c r="C31" s="22" t="n">
        <v>3</v>
      </c>
      <c r="D31" s="13" t="s">
        <v>266</v>
      </c>
      <c r="E31" s="22" t="s">
        <v>191</v>
      </c>
      <c r="F31" s="22" t="s">
        <v>195</v>
      </c>
    </row>
    <row r="32" customFormat="false" ht="15" hidden="false" customHeight="false" outlineLevel="0" collapsed="false">
      <c r="A32" s="28" t="s">
        <v>267</v>
      </c>
      <c r="B32" s="13" t="s">
        <v>268</v>
      </c>
      <c r="C32" s="22" t="n">
        <v>1</v>
      </c>
      <c r="D32" s="13" t="s">
        <v>269</v>
      </c>
      <c r="E32" s="22" t="s">
        <v>191</v>
      </c>
      <c r="F32" s="22" t="s">
        <v>195</v>
      </c>
    </row>
    <row r="33" customFormat="false" ht="15" hidden="false" customHeight="false" outlineLevel="0" collapsed="false">
      <c r="A33" s="28" t="s">
        <v>270</v>
      </c>
      <c r="B33" s="13" t="s">
        <v>271</v>
      </c>
      <c r="C33" s="22" t="n">
        <v>1</v>
      </c>
      <c r="D33" s="13" t="s">
        <v>272</v>
      </c>
      <c r="E33" s="22" t="s">
        <v>191</v>
      </c>
      <c r="F33" s="22" t="s">
        <v>195</v>
      </c>
    </row>
    <row r="34" customFormat="false" ht="15" hidden="false" customHeight="false" outlineLevel="0" collapsed="false">
      <c r="A34" s="28" t="s">
        <v>273</v>
      </c>
      <c r="B34" s="13" t="s">
        <v>274</v>
      </c>
      <c r="C34" s="22" t="n">
        <v>2</v>
      </c>
      <c r="D34" s="13" t="s">
        <v>275</v>
      </c>
      <c r="E34" s="22" t="s">
        <v>191</v>
      </c>
      <c r="F34" s="22" t="s">
        <v>195</v>
      </c>
    </row>
    <row r="35" customFormat="false" ht="15" hidden="false" customHeight="false" outlineLevel="0" collapsed="false">
      <c r="A35" s="28" t="s">
        <v>276</v>
      </c>
      <c r="B35" s="13" t="s">
        <v>277</v>
      </c>
      <c r="C35" s="22" t="n">
        <v>2</v>
      </c>
      <c r="D35" s="13" t="s">
        <v>278</v>
      </c>
      <c r="E35" s="22" t="s">
        <v>191</v>
      </c>
      <c r="F35" s="22" t="s">
        <v>195</v>
      </c>
    </row>
    <row r="36" customFormat="false" ht="15" hidden="false" customHeight="false" outlineLevel="0" collapsed="false">
      <c r="A36" s="28" t="s">
        <v>279</v>
      </c>
      <c r="B36" s="13" t="s">
        <v>280</v>
      </c>
      <c r="C36" s="22" t="n">
        <v>6</v>
      </c>
      <c r="D36" s="13" t="s">
        <v>281</v>
      </c>
      <c r="E36" s="22" t="s">
        <v>191</v>
      </c>
      <c r="F36" s="22" t="s">
        <v>195</v>
      </c>
    </row>
    <row r="37" customFormat="false" ht="15" hidden="false" customHeight="false" outlineLevel="0" collapsed="false">
      <c r="A37" s="28" t="s">
        <v>282</v>
      </c>
      <c r="B37" s="13" t="s">
        <v>283</v>
      </c>
      <c r="C37" s="22" t="n">
        <v>1</v>
      </c>
      <c r="D37" s="13" t="s">
        <v>284</v>
      </c>
      <c r="E37" s="22" t="s">
        <v>191</v>
      </c>
      <c r="F37" s="22" t="s">
        <v>195</v>
      </c>
    </row>
    <row r="38" customFormat="false" ht="15" hidden="false" customHeight="false" outlineLevel="0" collapsed="false">
      <c r="A38" s="28" t="s">
        <v>33</v>
      </c>
      <c r="B38" s="13" t="s">
        <v>285</v>
      </c>
      <c r="C38" s="22" t="n">
        <v>1</v>
      </c>
      <c r="D38" s="13" t="s">
        <v>286</v>
      </c>
      <c r="E38" s="22" t="s">
        <v>191</v>
      </c>
      <c r="F38" s="22" t="s">
        <v>287</v>
      </c>
    </row>
    <row r="39" customFormat="false" ht="15" hidden="false" customHeight="false" outlineLevel="0" collapsed="false">
      <c r="A39" s="28" t="s">
        <v>288</v>
      </c>
      <c r="B39" s="13" t="s">
        <v>289</v>
      </c>
      <c r="C39" s="22" t="n">
        <v>3</v>
      </c>
      <c r="D39" s="13" t="s">
        <v>286</v>
      </c>
      <c r="E39" s="22" t="s">
        <v>191</v>
      </c>
      <c r="F39" s="22" t="s">
        <v>287</v>
      </c>
    </row>
    <row r="40" customFormat="false" ht="15" hidden="false" customHeight="false" outlineLevel="0" collapsed="false">
      <c r="A40" s="28" t="s">
        <v>290</v>
      </c>
      <c r="B40" s="13" t="s">
        <v>291</v>
      </c>
      <c r="C40" s="22" t="n">
        <v>3</v>
      </c>
      <c r="D40" s="13" t="s">
        <v>292</v>
      </c>
      <c r="E40" s="22" t="s">
        <v>191</v>
      </c>
      <c r="F40" s="22" t="s">
        <v>287</v>
      </c>
    </row>
    <row r="41" customFormat="false" ht="15" hidden="false" customHeight="false" outlineLevel="0" collapsed="false">
      <c r="A41" s="28" t="s">
        <v>293</v>
      </c>
      <c r="B41" s="13" t="s">
        <v>294</v>
      </c>
      <c r="C41" s="22" t="n">
        <v>3</v>
      </c>
      <c r="D41" s="13" t="s">
        <v>295</v>
      </c>
      <c r="E41" s="22" t="s">
        <v>191</v>
      </c>
      <c r="F41" s="22" t="s">
        <v>287</v>
      </c>
    </row>
    <row r="42" customFormat="false" ht="15" hidden="false" customHeight="false" outlineLevel="0" collapsed="false">
      <c r="A42" s="28" t="s">
        <v>53</v>
      </c>
      <c r="B42" s="13" t="s">
        <v>296</v>
      </c>
      <c r="C42" s="22" t="n">
        <v>1</v>
      </c>
      <c r="D42" s="13" t="s">
        <v>295</v>
      </c>
      <c r="E42" s="22" t="s">
        <v>191</v>
      </c>
      <c r="F42" s="22" t="s">
        <v>195</v>
      </c>
    </row>
    <row r="43" customFormat="false" ht="15" hidden="false" customHeight="false" outlineLevel="0" collapsed="false">
      <c r="A43" s="28" t="s">
        <v>297</v>
      </c>
      <c r="B43" s="13" t="s">
        <v>298</v>
      </c>
      <c r="C43" s="22" t="n">
        <v>2</v>
      </c>
      <c r="D43" s="13" t="s">
        <v>299</v>
      </c>
      <c r="E43" s="22" t="s">
        <v>191</v>
      </c>
      <c r="F43" s="22" t="s">
        <v>287</v>
      </c>
    </row>
    <row r="44" customFormat="false" ht="15" hidden="false" customHeight="false" outlineLevel="0" collapsed="false">
      <c r="A44" s="28" t="s">
        <v>59</v>
      </c>
      <c r="B44" s="13" t="s">
        <v>300</v>
      </c>
      <c r="C44" s="22" t="n">
        <v>1</v>
      </c>
      <c r="D44" s="13" t="s">
        <v>295</v>
      </c>
      <c r="E44" s="22" t="s">
        <v>191</v>
      </c>
      <c r="F44" s="22" t="s">
        <v>287</v>
      </c>
    </row>
    <row r="45" customFormat="false" ht="15" hidden="false" customHeight="false" outlineLevel="0" collapsed="false">
      <c r="A45" s="28" t="s">
        <v>301</v>
      </c>
      <c r="B45" s="13" t="s">
        <v>302</v>
      </c>
      <c r="C45" s="22" t="n">
        <v>2</v>
      </c>
      <c r="D45" s="13" t="s">
        <v>295</v>
      </c>
      <c r="E45" s="22" t="s">
        <v>191</v>
      </c>
      <c r="F45" s="22" t="s">
        <v>195</v>
      </c>
    </row>
    <row r="46" customFormat="false" ht="15" hidden="false" customHeight="false" outlineLevel="0" collapsed="false">
      <c r="A46" s="28" t="s">
        <v>303</v>
      </c>
      <c r="B46" s="13" t="s">
        <v>304</v>
      </c>
      <c r="C46" s="22" t="n">
        <v>3</v>
      </c>
      <c r="D46" s="13" t="s">
        <v>305</v>
      </c>
      <c r="E46" s="22" t="s">
        <v>191</v>
      </c>
      <c r="F46" s="22" t="s">
        <v>195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1</v>
      </c>
      <c r="D47" s="13" t="s">
        <v>308</v>
      </c>
      <c r="E47" s="22" t="s">
        <v>191</v>
      </c>
      <c r="F47" s="22" t="s">
        <v>309</v>
      </c>
    </row>
    <row r="48" customFormat="false" ht="15" hidden="false" customHeight="false" outlineLevel="0" collapsed="false">
      <c r="A48" s="28" t="s">
        <v>310</v>
      </c>
      <c r="B48" s="13" t="s">
        <v>311</v>
      </c>
      <c r="C48" s="22" t="n">
        <v>6</v>
      </c>
      <c r="D48" s="13" t="s">
        <v>312</v>
      </c>
      <c r="E48" s="22" t="s">
        <v>191</v>
      </c>
      <c r="F48" s="22" t="s">
        <v>309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1</v>
      </c>
      <c r="D49" s="13" t="s">
        <v>315</v>
      </c>
      <c r="E49" s="22" t="s">
        <v>191</v>
      </c>
      <c r="F49" s="22" t="s">
        <v>309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2</v>
      </c>
      <c r="D50" s="13" t="s">
        <v>318</v>
      </c>
      <c r="E50" s="22" t="s">
        <v>191</v>
      </c>
      <c r="F50" s="22" t="s">
        <v>309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1</v>
      </c>
      <c r="D51" s="13" t="s">
        <v>321</v>
      </c>
      <c r="E51" s="22" t="s">
        <v>191</v>
      </c>
      <c r="F51" s="22" t="s">
        <v>309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191</v>
      </c>
      <c r="F52" s="22" t="s">
        <v>309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6</v>
      </c>
      <c r="D53" s="13" t="s">
        <v>327</v>
      </c>
      <c r="E53" s="22" t="s">
        <v>191</v>
      </c>
      <c r="F53" s="22" t="s">
        <v>309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16</v>
      </c>
      <c r="D54" s="13" t="s">
        <v>330</v>
      </c>
      <c r="E54" s="22" t="s">
        <v>191</v>
      </c>
      <c r="F54" s="22" t="s">
        <v>309</v>
      </c>
    </row>
    <row r="55" customFormat="false" ht="15" hidden="false" customHeight="false" outlineLevel="0" collapsed="false">
      <c r="A55" s="14" t="s">
        <v>331</v>
      </c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28" t="s">
        <v>332</v>
      </c>
      <c r="B56" s="13" t="s">
        <v>333</v>
      </c>
      <c r="C56" s="22" t="n">
        <v>1</v>
      </c>
      <c r="D56" s="13" t="s">
        <v>334</v>
      </c>
      <c r="E56" s="22" t="s">
        <v>335</v>
      </c>
      <c r="F56" s="22" t="s">
        <v>336</v>
      </c>
    </row>
    <row r="57" customFormat="false" ht="15" hidden="false" customHeight="false" outlineLevel="0" collapsed="false">
      <c r="A57" s="28" t="s">
        <v>140</v>
      </c>
      <c r="B57" s="13" t="s">
        <v>337</v>
      </c>
      <c r="C57" s="22" t="n">
        <v>1</v>
      </c>
      <c r="D57" s="13" t="s">
        <v>338</v>
      </c>
      <c r="E57" s="22" t="s">
        <v>335</v>
      </c>
      <c r="F57" s="22" t="s">
        <v>339</v>
      </c>
    </row>
    <row r="58" customFormat="false" ht="15" hidden="false" customHeight="false" outlineLevel="0" collapsed="false">
      <c r="A58" s="28" t="s">
        <v>340</v>
      </c>
      <c r="B58" s="13" t="s">
        <v>341</v>
      </c>
      <c r="C58" s="22" t="n">
        <v>1</v>
      </c>
      <c r="D58" s="13" t="s">
        <v>342</v>
      </c>
      <c r="E58" s="22" t="s">
        <v>335</v>
      </c>
      <c r="F58" s="22" t="s">
        <v>336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6</v>
      </c>
      <c r="D59" s="13" t="s">
        <v>345</v>
      </c>
      <c r="E59" s="22" t="s">
        <v>335</v>
      </c>
      <c r="F59" s="22" t="s">
        <v>346</v>
      </c>
    </row>
    <row r="60" customFormat="false" ht="15" hidden="false" customHeight="false" outlineLevel="0" collapsed="false">
      <c r="A60" s="28" t="s">
        <v>347</v>
      </c>
      <c r="B60" s="13" t="s">
        <v>348</v>
      </c>
      <c r="C60" s="22" t="n">
        <v>1</v>
      </c>
      <c r="D60" s="13" t="s">
        <v>349</v>
      </c>
      <c r="E60" s="22" t="s">
        <v>335</v>
      </c>
      <c r="F60" s="22" t="s">
        <v>350</v>
      </c>
    </row>
    <row r="61" customFormat="false" ht="15" hidden="false" customHeight="false" outlineLevel="0" collapsed="false">
      <c r="A61" s="28" t="s">
        <v>351</v>
      </c>
      <c r="B61" s="13" t="s">
        <v>352</v>
      </c>
      <c r="C61" s="22" t="n">
        <v>1</v>
      </c>
      <c r="D61" s="13" t="s">
        <v>353</v>
      </c>
      <c r="E61" s="22" t="s">
        <v>335</v>
      </c>
      <c r="F61" s="22" t="s">
        <v>346</v>
      </c>
    </row>
    <row r="62" customFormat="false" ht="23.85" hidden="false" customHeight="false" outlineLevel="0" collapsed="false">
      <c r="A62" s="28" t="s">
        <v>354</v>
      </c>
      <c r="B62" s="13" t="s">
        <v>355</v>
      </c>
      <c r="C62" s="22" t="n">
        <v>1</v>
      </c>
      <c r="D62" s="13" t="s">
        <v>356</v>
      </c>
      <c r="E62" s="22" t="s">
        <v>335</v>
      </c>
      <c r="F62" s="22" t="s">
        <v>346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335</v>
      </c>
      <c r="F63" s="22" t="s">
        <v>360</v>
      </c>
    </row>
    <row r="64" customFormat="false" ht="15" hidden="false" customHeight="false" outlineLevel="0" collapsed="false">
      <c r="A64" s="28" t="s">
        <v>361</v>
      </c>
      <c r="B64" s="13" t="s">
        <v>362</v>
      </c>
      <c r="C64" s="22" t="n">
        <v>10</v>
      </c>
      <c r="D64" s="13" t="s">
        <v>363</v>
      </c>
      <c r="E64" s="22" t="s">
        <v>335</v>
      </c>
      <c r="F64" s="22" t="s">
        <v>360</v>
      </c>
    </row>
    <row r="65" customFormat="false" ht="15" hidden="false" customHeight="false" outlineLevel="0" collapsed="false">
      <c r="A65" s="28" t="s">
        <v>364</v>
      </c>
      <c r="B65" s="13" t="s">
        <v>362</v>
      </c>
      <c r="C65" s="22" t="n">
        <v>10</v>
      </c>
      <c r="D65" s="13" t="s">
        <v>365</v>
      </c>
      <c r="E65" s="22" t="s">
        <v>335</v>
      </c>
      <c r="F65" s="22" t="s">
        <v>360</v>
      </c>
    </row>
    <row r="66" customFormat="false" ht="15" hidden="false" customHeight="false" outlineLevel="0" collapsed="false">
      <c r="A66" s="28" t="s">
        <v>366</v>
      </c>
      <c r="B66" s="13" t="s">
        <v>362</v>
      </c>
      <c r="C66" s="22" t="n">
        <v>10</v>
      </c>
      <c r="D66" s="13" t="s">
        <v>367</v>
      </c>
      <c r="E66" s="22" t="s">
        <v>335</v>
      </c>
      <c r="F66" s="22" t="s">
        <v>360</v>
      </c>
    </row>
    <row r="67" customFormat="false" ht="15" hidden="false" customHeight="false" outlineLevel="0" collapsed="false">
      <c r="A67" s="28" t="s">
        <v>368</v>
      </c>
      <c r="B67" s="13" t="s">
        <v>369</v>
      </c>
      <c r="C67" s="22" t="n">
        <v>17</v>
      </c>
      <c r="D67" s="13" t="s">
        <v>370</v>
      </c>
      <c r="E67" s="22" t="s">
        <v>335</v>
      </c>
      <c r="F67" s="22" t="s">
        <v>360</v>
      </c>
    </row>
    <row r="68" customFormat="false" ht="15" hidden="false" customHeight="false" outlineLevel="0" collapsed="false">
      <c r="A68" s="28" t="s">
        <v>371</v>
      </c>
      <c r="B68" s="13" t="s">
        <v>369</v>
      </c>
      <c r="C68" s="22" t="n">
        <v>17</v>
      </c>
      <c r="D68" s="13" t="s">
        <v>372</v>
      </c>
      <c r="E68" s="22" t="s">
        <v>335</v>
      </c>
      <c r="F68" s="22" t="s">
        <v>360</v>
      </c>
    </row>
    <row r="69" customFormat="false" ht="15" hidden="false" customHeight="false" outlineLevel="0" collapsed="false">
      <c r="A69" s="28" t="s">
        <v>373</v>
      </c>
      <c r="B69" s="13" t="s">
        <v>369</v>
      </c>
      <c r="C69" s="22" t="n">
        <v>16</v>
      </c>
      <c r="D69" s="13" t="s">
        <v>374</v>
      </c>
      <c r="E69" s="22" t="s">
        <v>335</v>
      </c>
      <c r="F69" s="22" t="s">
        <v>360</v>
      </c>
    </row>
    <row r="70" customFormat="false" ht="15" hidden="false" customHeight="false" outlineLevel="0" collapsed="false">
      <c r="A70" s="28" t="s">
        <v>375</v>
      </c>
      <c r="B70" s="13" t="s">
        <v>376</v>
      </c>
      <c r="C70" s="22" t="n">
        <v>4</v>
      </c>
      <c r="D70" s="13" t="s">
        <v>377</v>
      </c>
      <c r="E70" s="22" t="s">
        <v>335</v>
      </c>
      <c r="F70" s="22" t="s">
        <v>360</v>
      </c>
    </row>
    <row r="71" customFormat="false" ht="15" hidden="false" customHeight="false" outlineLevel="0" collapsed="false">
      <c r="A71" s="28" t="s">
        <v>378</v>
      </c>
      <c r="B71" s="13" t="s">
        <v>376</v>
      </c>
      <c r="C71" s="22" t="n">
        <v>3</v>
      </c>
      <c r="D71" s="13" t="s">
        <v>379</v>
      </c>
      <c r="E71" s="22" t="s">
        <v>335</v>
      </c>
      <c r="F71" s="22" t="s">
        <v>360</v>
      </c>
    </row>
    <row r="72" customFormat="false" ht="15" hidden="false" customHeight="false" outlineLevel="0" collapsed="false">
      <c r="A72" s="28" t="s">
        <v>380</v>
      </c>
      <c r="B72" s="13" t="s">
        <v>376</v>
      </c>
      <c r="C72" s="22" t="n">
        <v>3</v>
      </c>
      <c r="D72" s="13" t="s">
        <v>381</v>
      </c>
      <c r="E72" s="22" t="s">
        <v>335</v>
      </c>
      <c r="F72" s="22" t="s">
        <v>360</v>
      </c>
    </row>
    <row r="73" customFormat="false" ht="15" hidden="false" customHeight="false" outlineLevel="0" collapsed="false">
      <c r="A73" s="28" t="s">
        <v>382</v>
      </c>
      <c r="B73" s="13" t="s">
        <v>383</v>
      </c>
      <c r="C73" s="22" t="n">
        <v>4</v>
      </c>
      <c r="D73" s="13" t="s">
        <v>384</v>
      </c>
      <c r="E73" s="22" t="s">
        <v>335</v>
      </c>
      <c r="F73" s="22" t="s">
        <v>360</v>
      </c>
    </row>
    <row r="74" customFormat="false" ht="15" hidden="false" customHeight="false" outlineLevel="0" collapsed="false">
      <c r="A74" s="28" t="s">
        <v>385</v>
      </c>
      <c r="B74" s="13" t="s">
        <v>383</v>
      </c>
      <c r="C74" s="22" t="n">
        <v>4</v>
      </c>
      <c r="D74" s="13" t="s">
        <v>386</v>
      </c>
      <c r="E74" s="22" t="s">
        <v>335</v>
      </c>
      <c r="F74" s="22" t="s">
        <v>360</v>
      </c>
    </row>
    <row r="75" customFormat="false" ht="15" hidden="false" customHeight="false" outlineLevel="0" collapsed="false">
      <c r="A75" s="28" t="s">
        <v>387</v>
      </c>
      <c r="B75" s="13" t="s">
        <v>383</v>
      </c>
      <c r="C75" s="22" t="n">
        <v>4</v>
      </c>
      <c r="D75" s="13" t="s">
        <v>388</v>
      </c>
      <c r="E75" s="22" t="s">
        <v>335</v>
      </c>
      <c r="F75" s="22" t="s">
        <v>360</v>
      </c>
    </row>
    <row r="76" customFormat="false" ht="15" hidden="false" customHeight="false" outlineLevel="0" collapsed="false">
      <c r="A76" s="28" t="s">
        <v>389</v>
      </c>
      <c r="B76" s="13" t="s">
        <v>390</v>
      </c>
      <c r="C76" s="22" t="n">
        <v>1</v>
      </c>
      <c r="D76" s="13" t="s">
        <v>391</v>
      </c>
      <c r="E76" s="22" t="s">
        <v>335</v>
      </c>
      <c r="F76" s="22" t="s">
        <v>350</v>
      </c>
    </row>
    <row r="77" customFormat="false" ht="15" hidden="false" customHeight="false" outlineLevel="0" collapsed="false">
      <c r="A77" s="28" t="s">
        <v>392</v>
      </c>
      <c r="B77" s="13" t="s">
        <v>390</v>
      </c>
      <c r="C77" s="22" t="n">
        <v>1</v>
      </c>
      <c r="D77" s="13" t="s">
        <v>393</v>
      </c>
      <c r="E77" s="22" t="s">
        <v>335</v>
      </c>
      <c r="F77" s="22" t="s">
        <v>350</v>
      </c>
    </row>
    <row r="78" customFormat="false" ht="15" hidden="false" customHeight="false" outlineLevel="0" collapsed="false">
      <c r="A78" s="28" t="s">
        <v>394</v>
      </c>
      <c r="B78" s="13" t="s">
        <v>390</v>
      </c>
      <c r="C78" s="22" t="n">
        <v>1</v>
      </c>
      <c r="D78" s="13" t="s">
        <v>395</v>
      </c>
      <c r="E78" s="22" t="s">
        <v>335</v>
      </c>
      <c r="F78" s="22" t="s">
        <v>350</v>
      </c>
    </row>
    <row r="79" customFormat="false" ht="15" hidden="false" customHeight="false" outlineLevel="0" collapsed="false">
      <c r="A79" s="28" t="s">
        <v>396</v>
      </c>
      <c r="B79" s="13" t="s">
        <v>397</v>
      </c>
      <c r="C79" s="22" t="n">
        <v>1</v>
      </c>
      <c r="D79" s="13" t="s">
        <v>398</v>
      </c>
      <c r="E79" s="22" t="s">
        <v>335</v>
      </c>
      <c r="F79" s="22" t="s">
        <v>350</v>
      </c>
    </row>
    <row r="80" customFormat="false" ht="15" hidden="false" customHeight="false" outlineLevel="0" collapsed="false">
      <c r="A80" s="28" t="s">
        <v>399</v>
      </c>
      <c r="B80" s="13" t="s">
        <v>400</v>
      </c>
      <c r="C80" s="22" t="n">
        <v>6</v>
      </c>
      <c r="D80" s="13" t="s">
        <v>401</v>
      </c>
      <c r="E80" s="22" t="s">
        <v>335</v>
      </c>
      <c r="F80" s="22" t="s">
        <v>346</v>
      </c>
    </row>
    <row r="81" customFormat="false" ht="15" hidden="false" customHeight="false" outlineLevel="0" collapsed="false">
      <c r="A81" s="28" t="s">
        <v>155</v>
      </c>
      <c r="B81" s="13" t="s">
        <v>400</v>
      </c>
      <c r="C81" s="22" t="n">
        <v>1</v>
      </c>
      <c r="D81" s="13" t="s">
        <v>402</v>
      </c>
      <c r="E81" s="22" t="s">
        <v>335</v>
      </c>
      <c r="F81" s="22" t="s">
        <v>346</v>
      </c>
    </row>
    <row r="82" customFormat="false" ht="15" hidden="false" customHeight="false" outlineLevel="0" collapsed="false">
      <c r="A82" s="28" t="s">
        <v>403</v>
      </c>
      <c r="B82" s="13" t="s">
        <v>400</v>
      </c>
      <c r="C82" s="22" t="n">
        <v>3</v>
      </c>
      <c r="D82" s="13" t="s">
        <v>404</v>
      </c>
      <c r="E82" s="22" t="s">
        <v>335</v>
      </c>
      <c r="F82" s="22" t="s">
        <v>346</v>
      </c>
    </row>
    <row r="83" customFormat="false" ht="15" hidden="false" customHeight="false" outlineLevel="0" collapsed="false">
      <c r="A83" s="28" t="s">
        <v>405</v>
      </c>
      <c r="B83" s="13" t="s">
        <v>400</v>
      </c>
      <c r="C83" s="22" t="n">
        <v>3</v>
      </c>
      <c r="D83" s="13" t="s">
        <v>406</v>
      </c>
      <c r="E83" s="22" t="s">
        <v>335</v>
      </c>
      <c r="F83" s="22" t="s">
        <v>346</v>
      </c>
    </row>
    <row r="84" customFormat="false" ht="15" hidden="false" customHeight="false" outlineLevel="0" collapsed="false">
      <c r="A84" s="28" t="s">
        <v>407</v>
      </c>
      <c r="B84" s="13" t="s">
        <v>400</v>
      </c>
      <c r="C84" s="22" t="n">
        <v>3</v>
      </c>
      <c r="D84" s="13" t="s">
        <v>408</v>
      </c>
      <c r="E84" s="22" t="s">
        <v>335</v>
      </c>
      <c r="F84" s="22" t="s">
        <v>346</v>
      </c>
    </row>
    <row r="85" customFormat="false" ht="15" hidden="false" customHeight="false" outlineLevel="0" collapsed="false">
      <c r="A85" s="28" t="s">
        <v>171</v>
      </c>
      <c r="B85" s="13" t="s">
        <v>400</v>
      </c>
      <c r="C85" s="22" t="n">
        <v>1</v>
      </c>
      <c r="D85" s="13" t="s">
        <v>409</v>
      </c>
      <c r="E85" s="22" t="s">
        <v>335</v>
      </c>
      <c r="F85" s="22" t="s">
        <v>346</v>
      </c>
    </row>
    <row r="86" customFormat="false" ht="15" hidden="false" customHeight="false" outlineLevel="0" collapsed="false">
      <c r="A86" s="28" t="s">
        <v>410</v>
      </c>
      <c r="B86" s="13" t="s">
        <v>400</v>
      </c>
      <c r="C86" s="22" t="n">
        <v>3</v>
      </c>
      <c r="D86" s="13" t="s">
        <v>411</v>
      </c>
      <c r="E86" s="22" t="s">
        <v>335</v>
      </c>
      <c r="F86" s="22" t="s">
        <v>360</v>
      </c>
    </row>
    <row r="87" customFormat="false" ht="15" hidden="false" customHeight="false" outlineLevel="0" collapsed="false">
      <c r="A87" s="28" t="s">
        <v>412</v>
      </c>
      <c r="B87" s="13" t="s">
        <v>400</v>
      </c>
      <c r="C87" s="22" t="n">
        <v>2</v>
      </c>
      <c r="D87" s="13" t="s">
        <v>413</v>
      </c>
      <c r="E87" s="22" t="s">
        <v>335</v>
      </c>
      <c r="F87" s="22" t="s">
        <v>346</v>
      </c>
    </row>
  </sheetData>
  <mergeCells count="2">
    <mergeCell ref="A5:F5"/>
    <mergeCell ref="A55:F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414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415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416</v>
      </c>
      <c r="C5" s="7" t="s">
        <v>183</v>
      </c>
      <c r="D5" s="7" t="s">
        <v>417</v>
      </c>
      <c r="E5" s="7" t="s">
        <v>418</v>
      </c>
      <c r="F5" s="7" t="s">
        <v>419</v>
      </c>
      <c r="G5" s="7" t="s">
        <v>13</v>
      </c>
      <c r="H5" s="7" t="s">
        <v>420</v>
      </c>
      <c r="I5" s="7" t="s">
        <v>421</v>
      </c>
    </row>
    <row r="6" customFormat="false" ht="23.85" hidden="false" customHeight="false" outlineLevel="0" collapsed="false">
      <c r="A6" s="28" t="s">
        <v>357</v>
      </c>
      <c r="B6" s="13" t="s">
        <v>358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422</v>
      </c>
      <c r="I6" s="13" t="s">
        <v>423</v>
      </c>
    </row>
    <row r="7" customFormat="false" ht="15" hidden="false" customHeight="false" outlineLevel="0" collapsed="false">
      <c r="A7" s="28" t="s">
        <v>361</v>
      </c>
      <c r="B7" s="13" t="s">
        <v>424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425</v>
      </c>
      <c r="I7" s="13" t="s">
        <v>426</v>
      </c>
    </row>
    <row r="8" customFormat="false" ht="15" hidden="false" customHeight="false" outlineLevel="0" collapsed="false">
      <c r="A8" s="28" t="s">
        <v>364</v>
      </c>
      <c r="B8" s="13" t="s">
        <v>424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427</v>
      </c>
      <c r="I8" s="13" t="s">
        <v>426</v>
      </c>
    </row>
    <row r="9" customFormat="false" ht="15" hidden="false" customHeight="false" outlineLevel="0" collapsed="false">
      <c r="A9" s="28" t="s">
        <v>366</v>
      </c>
      <c r="B9" s="13" t="s">
        <v>424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428</v>
      </c>
      <c r="I9" s="13" t="s">
        <v>426</v>
      </c>
    </row>
    <row r="10" customFormat="false" ht="23.85" hidden="false" customHeight="false" outlineLevel="0" collapsed="false">
      <c r="A10" s="28" t="s">
        <v>368</v>
      </c>
      <c r="B10" s="13" t="s">
        <v>369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18</v>
      </c>
      <c r="H10" s="8" t="s">
        <v>429</v>
      </c>
      <c r="I10" s="13" t="s">
        <v>430</v>
      </c>
    </row>
    <row r="11" customFormat="false" ht="23.85" hidden="false" customHeight="false" outlineLevel="0" collapsed="false">
      <c r="A11" s="28" t="s">
        <v>371</v>
      </c>
      <c r="B11" s="13" t="s">
        <v>369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17</v>
      </c>
      <c r="H11" s="8" t="s">
        <v>431</v>
      </c>
      <c r="I11" s="13" t="s">
        <v>430</v>
      </c>
    </row>
    <row r="12" customFormat="false" ht="23.85" hidden="false" customHeight="false" outlineLevel="0" collapsed="false">
      <c r="A12" s="28" t="s">
        <v>373</v>
      </c>
      <c r="B12" s="13" t="s">
        <v>369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19</v>
      </c>
      <c r="H12" s="8" t="s">
        <v>432</v>
      </c>
      <c r="I12" s="13" t="s">
        <v>430</v>
      </c>
    </row>
    <row r="13" customFormat="false" ht="15" hidden="false" customHeight="false" outlineLevel="0" collapsed="false">
      <c r="A13" s="28" t="s">
        <v>375</v>
      </c>
      <c r="B13" s="13" t="s">
        <v>376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433</v>
      </c>
      <c r="I13" s="13" t="s">
        <v>434</v>
      </c>
    </row>
    <row r="14" customFormat="false" ht="15" hidden="false" customHeight="false" outlineLevel="0" collapsed="false">
      <c r="A14" s="28" t="s">
        <v>378</v>
      </c>
      <c r="B14" s="13" t="s">
        <v>376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435</v>
      </c>
      <c r="I14" s="13" t="s">
        <v>434</v>
      </c>
    </row>
    <row r="15" customFormat="false" ht="15" hidden="false" customHeight="false" outlineLevel="0" collapsed="false">
      <c r="A15" s="28" t="s">
        <v>380</v>
      </c>
      <c r="B15" s="13" t="s">
        <v>376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436</v>
      </c>
      <c r="I15" s="13" t="s">
        <v>434</v>
      </c>
    </row>
    <row r="16" customFormat="false" ht="23.85" hidden="false" customHeight="false" outlineLevel="0" collapsed="false">
      <c r="A16" s="28" t="s">
        <v>382</v>
      </c>
      <c r="B16" s="13" t="s">
        <v>437</v>
      </c>
      <c r="C16" s="10" t="n">
        <v>4</v>
      </c>
      <c r="D16" s="29" t="n">
        <v>150</v>
      </c>
      <c r="E16" s="30" t="n">
        <f aca="false">C16*D16</f>
        <v>600</v>
      </c>
      <c r="F16" s="31" t="s">
        <v>55</v>
      </c>
      <c r="G16" s="22" t="s">
        <v>19</v>
      </c>
      <c r="H16" s="8" t="s">
        <v>438</v>
      </c>
      <c r="I16" s="13" t="s">
        <v>439</v>
      </c>
    </row>
    <row r="17" customFormat="false" ht="23.85" hidden="false" customHeight="false" outlineLevel="0" collapsed="false">
      <c r="A17" s="28" t="s">
        <v>385</v>
      </c>
      <c r="B17" s="13" t="s">
        <v>437</v>
      </c>
      <c r="C17" s="10" t="n">
        <v>4</v>
      </c>
      <c r="D17" s="29" t="n">
        <v>150</v>
      </c>
      <c r="E17" s="30" t="n">
        <f aca="false">C17*D17</f>
        <v>600</v>
      </c>
      <c r="F17" s="31" t="s">
        <v>57</v>
      </c>
      <c r="G17" s="22" t="s">
        <v>19</v>
      </c>
      <c r="H17" s="8" t="s">
        <v>440</v>
      </c>
      <c r="I17" s="13" t="s">
        <v>439</v>
      </c>
    </row>
    <row r="18" customFormat="false" ht="23.85" hidden="false" customHeight="false" outlineLevel="0" collapsed="false">
      <c r="A18" s="28" t="s">
        <v>387</v>
      </c>
      <c r="B18" s="13" t="s">
        <v>437</v>
      </c>
      <c r="C18" s="10" t="n">
        <v>4</v>
      </c>
      <c r="D18" s="29" t="n">
        <v>150</v>
      </c>
      <c r="E18" s="30" t="n">
        <f aca="false">C18*D18</f>
        <v>600</v>
      </c>
      <c r="F18" s="31" t="s">
        <v>59</v>
      </c>
      <c r="G18" s="22" t="s">
        <v>19</v>
      </c>
      <c r="H18" s="8" t="s">
        <v>441</v>
      </c>
      <c r="I18" s="13" t="s">
        <v>439</v>
      </c>
    </row>
    <row r="19" customFormat="false" ht="15" hidden="false" customHeight="false" outlineLevel="0" collapsed="false">
      <c r="A19" s="14" t="s">
        <v>70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442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389</v>
      </c>
      <c r="B22" s="8" t="s">
        <v>390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168</v>
      </c>
      <c r="I22" s="8" t="s">
        <v>443</v>
      </c>
    </row>
    <row r="23" customFormat="false" ht="15" hidden="false" customHeight="false" outlineLevel="0" collapsed="false">
      <c r="A23" s="3" t="s">
        <v>392</v>
      </c>
      <c r="B23" s="8" t="s">
        <v>390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169</v>
      </c>
      <c r="I23" s="8" t="s">
        <v>443</v>
      </c>
    </row>
    <row r="24" customFormat="false" ht="15" hidden="false" customHeight="false" outlineLevel="0" collapsed="false">
      <c r="A24" s="3" t="s">
        <v>394</v>
      </c>
      <c r="B24" s="8" t="s">
        <v>390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170</v>
      </c>
      <c r="I24" s="8" t="s">
        <v>443</v>
      </c>
    </row>
    <row r="25" customFormat="false" ht="15" hidden="false" customHeight="false" outlineLevel="0" collapsed="false">
      <c r="A25" s="3" t="s">
        <v>407</v>
      </c>
      <c r="B25" s="8" t="s">
        <v>444</v>
      </c>
      <c r="C25" s="33" t="n">
        <f aca="false">ROUNDUP(('Kablo Çizelgesi'!K29+'Kablo Çizelgesi'!K30+'Kablo Çizelgesi'!K31)*(1+$C$3/100),0)</f>
        <v>220</v>
      </c>
      <c r="D25" s="22" t="s">
        <v>445</v>
      </c>
      <c r="E25" s="8"/>
      <c r="F25" s="22" t="s">
        <v>446</v>
      </c>
      <c r="G25" s="22" t="s">
        <v>67</v>
      </c>
      <c r="H25" s="8" t="s">
        <v>447</v>
      </c>
      <c r="I25" s="8" t="s">
        <v>448</v>
      </c>
    </row>
    <row r="26" customFormat="false" ht="15" hidden="false" customHeight="false" outlineLevel="0" collapsed="false">
      <c r="A26" s="3" t="s">
        <v>396</v>
      </c>
      <c r="B26" s="8" t="s">
        <v>449</v>
      </c>
      <c r="C26" s="10" t="n">
        <v>1</v>
      </c>
      <c r="D26" s="22"/>
      <c r="E26" s="22"/>
      <c r="F26" s="22" t="s">
        <v>67</v>
      </c>
      <c r="G26" s="22" t="s">
        <v>67</v>
      </c>
      <c r="H26" s="8" t="s">
        <v>450</v>
      </c>
      <c r="I26" s="8" t="s">
        <v>451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452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453</v>
      </c>
      <c r="B3" s="3"/>
      <c r="C3" s="4" t="n">
        <v>20</v>
      </c>
    </row>
    <row r="4" customFormat="false" ht="15" hidden="false" customHeight="false" outlineLevel="0" collapsed="false">
      <c r="A4" s="3" t="s">
        <v>454</v>
      </c>
      <c r="B4" s="3"/>
      <c r="C4" s="4" t="n">
        <v>20</v>
      </c>
    </row>
    <row r="5" customFormat="false" ht="15" hidden="false" customHeight="false" outlineLevel="0" collapsed="false">
      <c r="A5" s="3" t="s">
        <v>455</v>
      </c>
      <c r="B5" s="3"/>
      <c r="C5" s="4" t="n">
        <v>1</v>
      </c>
    </row>
    <row r="6" customFormat="false" ht="15" hidden="false" customHeight="false" outlineLevel="0" collapsed="false">
      <c r="A6" s="3" t="s">
        <v>456</v>
      </c>
      <c r="B6" s="3"/>
      <c r="C6" s="4" t="n">
        <v>0.8</v>
      </c>
    </row>
    <row r="7" customFormat="false" ht="15" hidden="false" customHeight="false" outlineLevel="0" collapsed="false">
      <c r="A7" s="3" t="s">
        <v>457</v>
      </c>
      <c r="B7" s="3"/>
      <c r="C7" s="4" t="n">
        <v>3</v>
      </c>
    </row>
    <row r="8" customFormat="false" ht="15" hidden="false" customHeight="false" outlineLevel="0" collapsed="false">
      <c r="A8" s="3" t="s">
        <v>458</v>
      </c>
      <c r="B8" s="3"/>
      <c r="C8" s="4" t="n">
        <v>10</v>
      </c>
    </row>
    <row r="9" customFormat="false" ht="15" hidden="false" customHeight="false" outlineLevel="0" collapsed="false">
      <c r="A9" s="3" t="s">
        <v>459</v>
      </c>
      <c r="B9" s="3"/>
      <c r="C9" s="4" t="n">
        <v>15</v>
      </c>
    </row>
    <row r="10" customFormat="false" ht="15" hidden="false" customHeight="false" outlineLevel="0" collapsed="false">
      <c r="A10" s="3" t="s">
        <v>460</v>
      </c>
      <c r="B10" s="3"/>
      <c r="C10" s="4" t="n">
        <v>10</v>
      </c>
    </row>
    <row r="11" customFormat="false" ht="15" hidden="false" customHeight="false" outlineLevel="0" collapsed="false">
      <c r="A11" s="3" t="s">
        <v>461</v>
      </c>
      <c r="B11" s="3"/>
      <c r="C11" s="4" t="n">
        <v>10</v>
      </c>
    </row>
    <row r="12" customFormat="false" ht="15" hidden="false" customHeight="false" outlineLevel="0" collapsed="false">
      <c r="A12" s="3" t="s">
        <v>462</v>
      </c>
      <c r="B12" s="3"/>
      <c r="C12" s="4" t="n">
        <v>16</v>
      </c>
    </row>
    <row r="13" customFormat="false" ht="15" hidden="false" customHeight="false" outlineLevel="0" collapsed="false">
      <c r="A13" s="3" t="s">
        <v>463</v>
      </c>
      <c r="B13" s="3"/>
      <c r="C13" s="4" t="n">
        <v>25</v>
      </c>
    </row>
    <row r="14" customFormat="false" ht="15" hidden="false" customHeight="false" outlineLevel="0" collapsed="false">
      <c r="A14" s="3" t="s">
        <v>464</v>
      </c>
      <c r="B14" s="3"/>
      <c r="C14" s="4" t="n">
        <v>6</v>
      </c>
    </row>
    <row r="15" customFormat="false" ht="15" hidden="false" customHeight="false" outlineLevel="0" collapsed="false">
      <c r="A15" s="3" t="s">
        <v>465</v>
      </c>
      <c r="B15" s="3"/>
      <c r="C15" s="4" t="n">
        <v>4</v>
      </c>
    </row>
    <row r="16" customFormat="false" ht="15" hidden="false" customHeight="false" outlineLevel="0" collapsed="false">
      <c r="A16" s="3" t="s">
        <v>466</v>
      </c>
      <c r="B16" s="3"/>
      <c r="C16" s="4" t="n">
        <v>2.5</v>
      </c>
    </row>
    <row r="17" customFormat="false" ht="15" hidden="false" customHeight="false" outlineLevel="0" collapsed="false">
      <c r="A17" s="3" t="s">
        <v>467</v>
      </c>
      <c r="B17" s="3"/>
      <c r="C17" s="4" t="n">
        <v>3</v>
      </c>
    </row>
    <row r="18" customFormat="false" ht="15" hidden="false" customHeight="false" outlineLevel="0" collapsed="false">
      <c r="A18" s="3" t="s">
        <v>468</v>
      </c>
      <c r="B18" s="3"/>
      <c r="C18" s="4" t="n">
        <v>3</v>
      </c>
    </row>
    <row r="19" customFormat="false" ht="15" hidden="false" customHeight="false" outlineLevel="0" collapsed="false">
      <c r="A19" s="3" t="s">
        <v>469</v>
      </c>
      <c r="B19" s="3"/>
      <c r="C19" s="4" t="n">
        <v>6</v>
      </c>
    </row>
    <row r="20" customFormat="false" ht="15" hidden="false" customHeight="false" outlineLevel="0" collapsed="false">
      <c r="A20" s="3" t="s">
        <v>470</v>
      </c>
      <c r="B20" s="3"/>
      <c r="C20" s="4" t="n">
        <v>12</v>
      </c>
    </row>
    <row r="21" customFormat="false" ht="15" hidden="false" customHeight="false" outlineLevel="0" collapsed="false">
      <c r="A21" s="3" t="s">
        <v>471</v>
      </c>
      <c r="B21" s="3"/>
      <c r="C21" s="4" t="n">
        <v>6</v>
      </c>
    </row>
    <row r="22" customFormat="false" ht="15" hidden="false" customHeight="false" outlineLevel="0" collapsed="false">
      <c r="A22" s="3" t="s">
        <v>472</v>
      </c>
      <c r="B22" s="3"/>
      <c r="C22" s="4" t="n">
        <v>30</v>
      </c>
    </row>
    <row r="23" customFormat="false" ht="15" hidden="false" customHeight="false" outlineLevel="0" collapsed="false">
      <c r="A23" s="3" t="s">
        <v>473</v>
      </c>
      <c r="B23" s="3"/>
      <c r="C23" s="4" t="n">
        <v>2</v>
      </c>
    </row>
    <row r="24" customFormat="false" ht="15" hidden="false" customHeight="false" outlineLevel="0" collapsed="false">
      <c r="A24" s="3" t="s">
        <v>474</v>
      </c>
      <c r="B24" s="3"/>
      <c r="C24" s="4" t="n">
        <v>1.5</v>
      </c>
    </row>
    <row r="25" customFormat="false" ht="15" hidden="false" customHeight="false" outlineLevel="0" collapsed="false">
      <c r="A25" s="3" t="s">
        <v>475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476</v>
      </c>
      <c r="C27" s="6" t="s">
        <v>477</v>
      </c>
      <c r="D27" s="6" t="s">
        <v>478</v>
      </c>
      <c r="E27" s="6" t="s">
        <v>479</v>
      </c>
      <c r="F27" s="6" t="s">
        <v>184</v>
      </c>
    </row>
    <row r="28" customFormat="false" ht="15" hidden="false" customHeight="false" outlineLevel="0" collapsed="false">
      <c r="A28" s="28" t="s">
        <v>480</v>
      </c>
      <c r="B28" s="13" t="s">
        <v>481</v>
      </c>
      <c r="C28" s="22" t="s">
        <v>445</v>
      </c>
      <c r="D28" s="33" t="n">
        <f aca="false">2*(($C$3+2*$C$5)+($C$4+2*$C$5))</f>
        <v>88</v>
      </c>
      <c r="E28" s="13" t="s">
        <v>482</v>
      </c>
      <c r="F28" s="13" t="s">
        <v>483</v>
      </c>
    </row>
    <row r="29" customFormat="false" ht="15" hidden="false" customHeight="false" outlineLevel="0" collapsed="false">
      <c r="A29" s="28" t="s">
        <v>480</v>
      </c>
      <c r="B29" s="13" t="s">
        <v>484</v>
      </c>
      <c r="C29" s="22" t="s">
        <v>445</v>
      </c>
      <c r="D29" s="33" t="n">
        <f aca="false">ROUNDUP(D28*(1+$C$10/100),0)</f>
        <v>97</v>
      </c>
      <c r="E29" s="13" t="s">
        <v>485</v>
      </c>
      <c r="F29" s="13" t="s">
        <v>483</v>
      </c>
    </row>
    <row r="30" customFormat="false" ht="15" hidden="false" customHeight="false" outlineLevel="0" collapsed="false">
      <c r="A30" s="28" t="s">
        <v>486</v>
      </c>
      <c r="B30" s="13" t="s">
        <v>487</v>
      </c>
      <c r="C30" s="22" t="s">
        <v>488</v>
      </c>
      <c r="D30" s="33" t="n">
        <f aca="false">2*(ROUNDUP(($C$3+2*$C$5)/$C$8,0)+ROUNDUP(($C$4+2*$C$5)/$C$8,0))</f>
        <v>12</v>
      </c>
      <c r="E30" s="13" t="s">
        <v>489</v>
      </c>
      <c r="F30" s="13" t="s">
        <v>490</v>
      </c>
    </row>
    <row r="31" customFormat="false" ht="15" hidden="false" customHeight="false" outlineLevel="0" collapsed="false">
      <c r="A31" s="28" t="s">
        <v>486</v>
      </c>
      <c r="B31" s="13" t="s">
        <v>491</v>
      </c>
      <c r="C31" s="22" t="s">
        <v>445</v>
      </c>
      <c r="D31" s="33" t="n">
        <f aca="false">D30*$C$7</f>
        <v>36</v>
      </c>
      <c r="E31" s="13" t="s">
        <v>492</v>
      </c>
      <c r="F31" s="13"/>
    </row>
    <row r="32" customFormat="false" ht="15" hidden="false" customHeight="false" outlineLevel="0" collapsed="false">
      <c r="A32" s="28" t="s">
        <v>486</v>
      </c>
      <c r="B32" s="13" t="s">
        <v>493</v>
      </c>
      <c r="C32" s="22" t="s">
        <v>445</v>
      </c>
      <c r="D32" s="18" t="n">
        <f aca="false">MAX(($C$3+2*$C$5)/ROUNDUP(($C$3+2*$C$5)/$C$8,0),($C$4+2*$C$5)/ROUNDUP(($C$4+2*$C$5)/$C$8,0))</f>
        <v>7.33333333333333</v>
      </c>
      <c r="E32" s="13" t="s">
        <v>494</v>
      </c>
      <c r="F32" s="13" t="s">
        <v>495</v>
      </c>
    </row>
    <row r="33" customFormat="false" ht="15" hidden="false" customHeight="false" outlineLevel="0" collapsed="false">
      <c r="A33" s="28" t="s">
        <v>496</v>
      </c>
      <c r="B33" s="13" t="s">
        <v>497</v>
      </c>
      <c r="C33" s="22" t="s">
        <v>488</v>
      </c>
      <c r="D33" s="33" t="n">
        <f aca="false">$C$15</f>
        <v>4</v>
      </c>
      <c r="E33" s="13" t="s">
        <v>498</v>
      </c>
      <c r="F33" s="13" t="s">
        <v>499</v>
      </c>
    </row>
    <row r="34" customFormat="false" ht="15" hidden="false" customHeight="false" outlineLevel="0" collapsed="false">
      <c r="A34" s="28" t="s">
        <v>500</v>
      </c>
      <c r="B34" s="13" t="s">
        <v>501</v>
      </c>
      <c r="C34" s="22" t="s">
        <v>488</v>
      </c>
      <c r="D34" s="33" t="n">
        <f aca="false">MIN(8,MAX(2,ROUNDUP(2*($C$3+$C$4)/$C$9,0)))</f>
        <v>6</v>
      </c>
      <c r="E34" s="13" t="s">
        <v>502</v>
      </c>
      <c r="F34" s="13" t="s">
        <v>503</v>
      </c>
    </row>
    <row r="35" customFormat="false" ht="15" hidden="false" customHeight="false" outlineLevel="0" collapsed="false">
      <c r="A35" s="28" t="s">
        <v>504</v>
      </c>
      <c r="B35" s="13" t="s">
        <v>505</v>
      </c>
      <c r="C35" s="22" t="s">
        <v>488</v>
      </c>
      <c r="D35" s="33" t="n">
        <f aca="false">D34</f>
        <v>6</v>
      </c>
      <c r="E35" s="13" t="s">
        <v>506</v>
      </c>
      <c r="F35" s="13" t="s">
        <v>507</v>
      </c>
    </row>
    <row r="36" customFormat="false" ht="23.85" hidden="false" customHeight="false" outlineLevel="0" collapsed="false">
      <c r="A36" s="28" t="s">
        <v>500</v>
      </c>
      <c r="B36" s="13" t="s">
        <v>508</v>
      </c>
      <c r="C36" s="22" t="s">
        <v>445</v>
      </c>
      <c r="D36" s="33" t="n">
        <f aca="false">ROUNDUP((D34*($C$11+$C$6)+($C$13-$C$11)+(PI()*$C$14/2+2))*(1+$C$10/100),0)</f>
        <v>101</v>
      </c>
      <c r="E36" s="13" t="s">
        <v>509</v>
      </c>
      <c r="F36" s="13" t="s">
        <v>510</v>
      </c>
    </row>
    <row r="37" customFormat="false" ht="15" hidden="false" customHeight="false" outlineLevel="0" collapsed="false">
      <c r="A37" s="28" t="s">
        <v>511</v>
      </c>
      <c r="B37" s="13" t="s">
        <v>512</v>
      </c>
      <c r="C37" s="22" t="s">
        <v>445</v>
      </c>
      <c r="D37" s="33" t="n">
        <f aca="false">ROUNDUP((2*($C$3+$C$4)+$C$4/2+3)*(1+$C$10/100),0)</f>
        <v>103</v>
      </c>
      <c r="E37" s="13" t="s">
        <v>513</v>
      </c>
      <c r="F37" s="13" t="s">
        <v>514</v>
      </c>
    </row>
    <row r="38" customFormat="false" ht="15" hidden="false" customHeight="false" outlineLevel="0" collapsed="false">
      <c r="A38" s="28" t="s">
        <v>515</v>
      </c>
      <c r="B38" s="13" t="s">
        <v>516</v>
      </c>
      <c r="C38" s="22" t="s">
        <v>488</v>
      </c>
      <c r="D38" s="33" t="n">
        <f aca="false">3</f>
        <v>3</v>
      </c>
      <c r="E38" s="13" t="s">
        <v>517</v>
      </c>
      <c r="F38" s="13" t="s">
        <v>518</v>
      </c>
    </row>
    <row r="39" customFormat="false" ht="15" hidden="false" customHeight="false" outlineLevel="0" collapsed="false">
      <c r="A39" s="28" t="s">
        <v>515</v>
      </c>
      <c r="B39" s="13" t="s">
        <v>519</v>
      </c>
      <c r="C39" s="22" t="s">
        <v>445</v>
      </c>
      <c r="D39" s="20" t="n">
        <f aca="false">$C$23+$C$24+$C$25</f>
        <v>4.5</v>
      </c>
      <c r="E39" s="13" t="s">
        <v>520</v>
      </c>
      <c r="F39" s="13"/>
    </row>
    <row r="40" customFormat="false" ht="15" hidden="false" customHeight="false" outlineLevel="0" collapsed="false">
      <c r="A40" s="28" t="s">
        <v>521</v>
      </c>
      <c r="B40" s="13" t="s">
        <v>522</v>
      </c>
      <c r="C40" s="22" t="s">
        <v>488</v>
      </c>
      <c r="D40" s="33" t="n">
        <f aca="false">1</f>
        <v>1</v>
      </c>
      <c r="E40" s="13" t="s">
        <v>523</v>
      </c>
      <c r="F40" s="13" t="s">
        <v>524</v>
      </c>
    </row>
    <row r="41" customFormat="false" ht="15" hidden="false" customHeight="false" outlineLevel="0" collapsed="false">
      <c r="A41" s="28" t="s">
        <v>525</v>
      </c>
      <c r="B41" s="13" t="s">
        <v>526</v>
      </c>
      <c r="C41" s="22" t="s">
        <v>445</v>
      </c>
      <c r="D41" s="33" t="n">
        <f aca="false">ROUNDUP($C$16*(1+$C$10/100),0)</f>
        <v>3</v>
      </c>
      <c r="E41" s="13" t="s">
        <v>527</v>
      </c>
      <c r="F41" s="13" t="s">
        <v>510</v>
      </c>
    </row>
    <row r="42" customFormat="false" ht="15" hidden="false" customHeight="false" outlineLevel="0" collapsed="false">
      <c r="A42" s="28" t="s">
        <v>528</v>
      </c>
      <c r="B42" s="13" t="s">
        <v>529</v>
      </c>
      <c r="C42" s="22" t="s">
        <v>445</v>
      </c>
      <c r="D42" s="33" t="n">
        <f aca="false">ROUNDUP($C$17*(1+$C$10/100),0)</f>
        <v>4</v>
      </c>
      <c r="E42" s="13" t="s">
        <v>527</v>
      </c>
      <c r="F42" s="13" t="s">
        <v>510</v>
      </c>
    </row>
    <row r="43" customFormat="false" ht="15" hidden="false" customHeight="false" outlineLevel="0" collapsed="false">
      <c r="A43" s="28" t="s">
        <v>340</v>
      </c>
      <c r="B43" s="13" t="s">
        <v>530</v>
      </c>
      <c r="C43" s="22" t="s">
        <v>445</v>
      </c>
      <c r="D43" s="33" t="n">
        <f aca="false">ROUNDUP($C$22*(1+$C$10/100),0)</f>
        <v>33</v>
      </c>
      <c r="E43" s="13" t="s">
        <v>531</v>
      </c>
      <c r="F43" s="13" t="s">
        <v>532</v>
      </c>
    </row>
    <row r="44" customFormat="false" ht="15" hidden="false" customHeight="false" outlineLevel="0" collapsed="false">
      <c r="A44" s="28" t="s">
        <v>533</v>
      </c>
      <c r="B44" s="13" t="s">
        <v>534</v>
      </c>
      <c r="C44" s="22" t="s">
        <v>488</v>
      </c>
      <c r="D44" s="33" t="n">
        <f aca="false">$C$18</f>
        <v>3</v>
      </c>
      <c r="E44" s="13" t="s">
        <v>498</v>
      </c>
      <c r="F44" s="13" t="s">
        <v>535</v>
      </c>
    </row>
    <row r="45" customFormat="false" ht="15" hidden="false" customHeight="false" outlineLevel="0" collapsed="false">
      <c r="A45" s="28" t="s">
        <v>533</v>
      </c>
      <c r="B45" s="13" t="s">
        <v>536</v>
      </c>
      <c r="C45" s="22" t="s">
        <v>445</v>
      </c>
      <c r="D45" s="33" t="n">
        <f aca="false">($C$18-1)*$C$19+6</f>
        <v>18</v>
      </c>
      <c r="E45" s="13" t="s">
        <v>537</v>
      </c>
      <c r="F45" s="13" t="s">
        <v>538</v>
      </c>
    </row>
    <row r="46" customFormat="false" ht="15" hidden="false" customHeight="false" outlineLevel="0" collapsed="false">
      <c r="A46" s="28" t="s">
        <v>539</v>
      </c>
      <c r="B46" s="13" t="s">
        <v>540</v>
      </c>
      <c r="C46" s="22" t="s">
        <v>445</v>
      </c>
      <c r="D46" s="33" t="n">
        <f aca="false">ROUNDUP($C$21*$C$20*(1+$C$10/100),0)</f>
        <v>80</v>
      </c>
      <c r="E46" s="13" t="s">
        <v>541</v>
      </c>
      <c r="F46" s="13" t="s">
        <v>542</v>
      </c>
    </row>
    <row r="47" customFormat="false" ht="15" hidden="false" customHeight="false" outlineLevel="0" collapsed="false">
      <c r="A47" s="28" t="s">
        <v>539</v>
      </c>
      <c r="B47" s="13" t="s">
        <v>543</v>
      </c>
      <c r="C47" s="22" t="s">
        <v>488</v>
      </c>
      <c r="D47" s="33" t="n">
        <f aca="false">$C$21</f>
        <v>6</v>
      </c>
      <c r="E47" s="13" t="s">
        <v>544</v>
      </c>
      <c r="F47" s="13" t="s">
        <v>545</v>
      </c>
    </row>
    <row r="48" customFormat="false" ht="15" hidden="false" customHeight="false" outlineLevel="0" collapsed="false">
      <c r="A48" s="28" t="s">
        <v>546</v>
      </c>
      <c r="B48" s="13" t="s">
        <v>547</v>
      </c>
      <c r="C48" s="22" t="s">
        <v>488</v>
      </c>
      <c r="D48" s="33" t="n">
        <f aca="false">1</f>
        <v>1</v>
      </c>
      <c r="E48" s="13" t="s">
        <v>548</v>
      </c>
      <c r="F48" s="13" t="s">
        <v>549</v>
      </c>
    </row>
    <row r="49" customFormat="false" ht="15" hidden="false" customHeight="false" outlineLevel="0" collapsed="false">
      <c r="A49" s="28" t="s">
        <v>550</v>
      </c>
      <c r="B49" s="13" t="s">
        <v>551</v>
      </c>
      <c r="C49" s="22" t="s">
        <v>488</v>
      </c>
      <c r="D49" s="33" t="n">
        <f aca="false">D30+D34+2+1+$C$21</f>
        <v>27</v>
      </c>
      <c r="E49" s="13" t="s">
        <v>552</v>
      </c>
      <c r="F49" s="13" t="s">
        <v>553</v>
      </c>
    </row>
    <row r="50" customFormat="false" ht="15" hidden="false" customHeight="false" outlineLevel="0" collapsed="false">
      <c r="A50" s="28" t="s">
        <v>550</v>
      </c>
      <c r="B50" s="13" t="s">
        <v>554</v>
      </c>
      <c r="C50" s="22" t="s">
        <v>488</v>
      </c>
      <c r="D50" s="33" t="n">
        <f aca="false">3</f>
        <v>3</v>
      </c>
      <c r="E50" s="13" t="s">
        <v>555</v>
      </c>
      <c r="F50" s="13" t="s">
        <v>556</v>
      </c>
    </row>
    <row r="51" customFormat="false" ht="15" hidden="false" customHeight="false" outlineLevel="0" collapsed="false">
      <c r="A51" s="28" t="s">
        <v>67</v>
      </c>
      <c r="B51" s="13" t="s">
        <v>557</v>
      </c>
      <c r="C51" s="22" t="s">
        <v>488</v>
      </c>
      <c r="D51" s="33" t="n">
        <f aca="false">ROUNDUP(D49/10,0)</f>
        <v>3</v>
      </c>
      <c r="E51" s="13" t="s">
        <v>558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560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561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562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563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564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114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565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566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567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568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569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570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571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572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573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574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575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576</v>
      </c>
      <c r="B23" s="3"/>
      <c r="C23" s="3"/>
      <c r="D23" s="20" t="n">
        <f aca="false">$D$3*1000/(SQRT(3)*$D$4)</f>
        <v>360.843918243516</v>
      </c>
      <c r="E23" s="8" t="s">
        <v>577</v>
      </c>
    </row>
    <row r="24" customFormat="false" ht="15" hidden="false" customHeight="false" outlineLevel="0" collapsed="false">
      <c r="A24" s="3" t="s">
        <v>578</v>
      </c>
      <c r="B24" s="3"/>
      <c r="C24" s="3"/>
      <c r="D24" s="18" t="n">
        <f aca="false">$D$23/($D$5/100)/1000</f>
        <v>9.0210979560879</v>
      </c>
      <c r="E24" s="8" t="s">
        <v>579</v>
      </c>
    </row>
    <row r="25" customFormat="false" ht="15" hidden="false" customHeight="false" outlineLevel="0" collapsed="false">
      <c r="A25" s="3" t="s">
        <v>580</v>
      </c>
      <c r="B25" s="3"/>
      <c r="C25" s="3"/>
      <c r="D25" s="34" t="n">
        <f aca="false">$D$5/100*$D$4^2/($D$3*1000)</f>
        <v>0.0256</v>
      </c>
      <c r="E25" s="8" t="s">
        <v>581</v>
      </c>
    </row>
    <row r="26" customFormat="false" ht="15" hidden="false" customHeight="false" outlineLevel="0" collapsed="false">
      <c r="A26" s="3" t="s">
        <v>582</v>
      </c>
      <c r="B26" s="3"/>
      <c r="C26" s="3"/>
      <c r="D26" s="34" t="n">
        <f aca="false">$D$6/100*$D$4^2/($D$3*1000)</f>
        <v>0.00832</v>
      </c>
      <c r="E26" s="8" t="s">
        <v>581</v>
      </c>
    </row>
    <row r="27" customFormat="false" ht="15" hidden="false" customHeight="false" outlineLevel="0" collapsed="false">
      <c r="A27" s="3" t="s">
        <v>583</v>
      </c>
      <c r="B27" s="3"/>
      <c r="C27" s="3"/>
      <c r="D27" s="34" t="n">
        <f aca="false">SQRT($D$25^2-$D$26^2)</f>
        <v>0.0242102788088035</v>
      </c>
      <c r="E27" s="8" t="s">
        <v>581</v>
      </c>
    </row>
    <row r="28" customFormat="false" ht="15" hidden="false" customHeight="false" outlineLevel="0" collapsed="false">
      <c r="A28" s="3" t="s">
        <v>584</v>
      </c>
      <c r="B28" s="3"/>
      <c r="C28" s="3"/>
      <c r="D28" s="34" t="n">
        <f aca="false">$D$7/(56*$D$8)</f>
        <v>0.0056390977443609</v>
      </c>
      <c r="E28" s="8" t="s">
        <v>581</v>
      </c>
    </row>
    <row r="29" customFormat="false" ht="15" hidden="false" customHeight="false" outlineLevel="0" collapsed="false">
      <c r="A29" s="3" t="s">
        <v>585</v>
      </c>
      <c r="B29" s="3"/>
      <c r="C29" s="3"/>
      <c r="D29" s="34" t="n">
        <f aca="false">$D$9/1000*$D$7</f>
        <v>0.0024</v>
      </c>
      <c r="E29" s="8" t="s">
        <v>581</v>
      </c>
    </row>
    <row r="30" customFormat="false" ht="15" hidden="false" customHeight="false" outlineLevel="0" collapsed="false">
      <c r="A30" s="3" t="s">
        <v>586</v>
      </c>
      <c r="B30" s="3"/>
      <c r="C30" s="3"/>
      <c r="D30" s="34" t="n">
        <f aca="false">SQRT(($D$26+$D$28)^2+($D$27+$D$29)^2)</f>
        <v>0.0300493485473292</v>
      </c>
      <c r="E30" s="8" t="s">
        <v>581</v>
      </c>
    </row>
    <row r="31" customFormat="false" ht="15" hidden="false" customHeight="false" outlineLevel="0" collapsed="false">
      <c r="A31" s="3" t="s">
        <v>587</v>
      </c>
      <c r="B31" s="3"/>
      <c r="C31" s="3"/>
      <c r="D31" s="18" t="n">
        <f aca="false">$D$4/(SQRT(3)*$D$30)/1000</f>
        <v>7.68536154160241</v>
      </c>
      <c r="E31" s="8" t="s">
        <v>579</v>
      </c>
    </row>
    <row r="33" customFormat="false" ht="15" hidden="false" customHeight="false" outlineLevel="0" collapsed="false">
      <c r="A33" s="14" t="s">
        <v>588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589</v>
      </c>
      <c r="B34" s="7" t="s">
        <v>10</v>
      </c>
      <c r="C34" s="7" t="s">
        <v>590</v>
      </c>
      <c r="D34" s="7" t="s">
        <v>591</v>
      </c>
      <c r="E34" s="7" t="s">
        <v>592</v>
      </c>
      <c r="F34" s="7" t="s">
        <v>593</v>
      </c>
      <c r="G34" s="7" t="s">
        <v>594</v>
      </c>
      <c r="H34" s="7" t="s">
        <v>595</v>
      </c>
      <c r="I34" s="7" t="s">
        <v>596</v>
      </c>
      <c r="J34" s="7" t="s">
        <v>421</v>
      </c>
    </row>
    <row r="35" customFormat="false" ht="15" hidden="false" customHeight="false" outlineLevel="0" collapsed="false">
      <c r="A35" s="22" t="s">
        <v>597</v>
      </c>
      <c r="B35" s="28" t="s">
        <v>141</v>
      </c>
      <c r="C35" s="13" t="s">
        <v>598</v>
      </c>
      <c r="D35" s="22" t="n">
        <f aca="false">$D$12</f>
        <v>160</v>
      </c>
      <c r="E35" s="22" t="s">
        <v>67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599</v>
      </c>
    </row>
    <row r="36" customFormat="false" ht="15" hidden="false" customHeight="false" outlineLevel="0" collapsed="false">
      <c r="A36" s="22" t="s">
        <v>600</v>
      </c>
      <c r="B36" s="28" t="s">
        <v>199</v>
      </c>
      <c r="C36" s="13" t="s">
        <v>601</v>
      </c>
      <c r="D36" s="22" t="s">
        <v>67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602</v>
      </c>
    </row>
    <row r="37" customFormat="false" ht="15" hidden="false" customHeight="false" outlineLevel="0" collapsed="false">
      <c r="A37" s="22" t="s">
        <v>603</v>
      </c>
      <c r="B37" s="28" t="s">
        <v>273</v>
      </c>
      <c r="C37" s="13" t="s">
        <v>604</v>
      </c>
      <c r="D37" s="22" t="n">
        <v>63</v>
      </c>
      <c r="E37" s="22" t="s">
        <v>67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605</v>
      </c>
    </row>
    <row r="38" customFormat="false" ht="15" hidden="false" customHeight="false" outlineLevel="0" collapsed="false">
      <c r="A38" s="22" t="s">
        <v>603</v>
      </c>
      <c r="B38" s="28" t="s">
        <v>240</v>
      </c>
      <c r="C38" s="13" t="s">
        <v>606</v>
      </c>
      <c r="D38" s="22" t="n">
        <v>25</v>
      </c>
      <c r="E38" s="22" t="s">
        <v>67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607</v>
      </c>
    </row>
    <row r="39" customFormat="false" ht="15" hidden="false" customHeight="false" outlineLevel="0" collapsed="false">
      <c r="A39" s="22" t="s">
        <v>603</v>
      </c>
      <c r="B39" s="28" t="s">
        <v>243</v>
      </c>
      <c r="C39" s="13" t="s">
        <v>608</v>
      </c>
      <c r="D39" s="22" t="n">
        <v>25</v>
      </c>
      <c r="E39" s="22" t="s">
        <v>67</v>
      </c>
      <c r="F39" s="22" t="s">
        <v>67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609</v>
      </c>
    </row>
    <row r="40" customFormat="false" ht="15" hidden="false" customHeight="false" outlineLevel="0" collapsed="false">
      <c r="A40" s="22" t="s">
        <v>603</v>
      </c>
      <c r="B40" s="28" t="s">
        <v>276</v>
      </c>
      <c r="C40" s="13" t="s">
        <v>610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611</v>
      </c>
    </row>
    <row r="41" customFormat="false" ht="15" hidden="false" customHeight="false" outlineLevel="0" collapsed="false">
      <c r="A41" s="22" t="s">
        <v>612</v>
      </c>
      <c r="B41" s="28" t="s">
        <v>279</v>
      </c>
      <c r="C41" s="13" t="s">
        <v>613</v>
      </c>
      <c r="D41" s="22" t="n">
        <v>14</v>
      </c>
      <c r="E41" s="22" t="s">
        <v>67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612</v>
      </c>
      <c r="B42" s="28" t="s">
        <v>614</v>
      </c>
      <c r="C42" s="13" t="s">
        <v>615</v>
      </c>
      <c r="D42" s="22" t="s">
        <v>616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617</v>
      </c>
    </row>
    <row r="43" customFormat="false" ht="15" hidden="false" customHeight="false" outlineLevel="0" collapsed="false">
      <c r="A43" s="22" t="s">
        <v>612</v>
      </c>
      <c r="B43" s="28" t="s">
        <v>282</v>
      </c>
      <c r="C43" s="13" t="s">
        <v>618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619</v>
      </c>
    </row>
    <row r="44" customFormat="false" ht="15" hidden="false" customHeight="false" outlineLevel="0" collapsed="false">
      <c r="A44" s="22" t="s">
        <v>620</v>
      </c>
      <c r="B44" s="28" t="s">
        <v>297</v>
      </c>
      <c r="C44" s="13" t="s">
        <v>621</v>
      </c>
      <c r="D44" s="22" t="n">
        <v>10</v>
      </c>
      <c r="E44" s="22" t="s">
        <v>67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622</v>
      </c>
    </row>
    <row r="45" customFormat="false" ht="15" hidden="false" customHeight="false" outlineLevel="0" collapsed="false">
      <c r="B45" s="3" t="s">
        <v>623</v>
      </c>
      <c r="C45" s="8" t="s">
        <v>624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625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626</v>
      </c>
      <c r="B48" s="7" t="s">
        <v>627</v>
      </c>
      <c r="C48" s="7" t="s">
        <v>628</v>
      </c>
      <c r="D48" s="7" t="s">
        <v>629</v>
      </c>
      <c r="E48" s="7" t="s">
        <v>630</v>
      </c>
      <c r="F48" s="7" t="s">
        <v>631</v>
      </c>
      <c r="G48" s="7" t="s">
        <v>632</v>
      </c>
      <c r="H48" s="7" t="s">
        <v>633</v>
      </c>
      <c r="I48" s="7" t="s">
        <v>634</v>
      </c>
      <c r="J48" s="7" t="s">
        <v>635</v>
      </c>
    </row>
    <row r="49" customFormat="false" ht="15" hidden="false" customHeight="false" outlineLevel="0" collapsed="false">
      <c r="A49" s="3" t="s">
        <v>199</v>
      </c>
      <c r="B49" s="13" t="s">
        <v>636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199</v>
      </c>
      <c r="B50" s="13" t="s">
        <v>637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199</v>
      </c>
      <c r="B51" s="13" t="s">
        <v>638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639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640</v>
      </c>
      <c r="B54" s="6"/>
      <c r="C54" s="6"/>
      <c r="D54" s="6" t="s">
        <v>641</v>
      </c>
      <c r="E54" s="6" t="s">
        <v>477</v>
      </c>
      <c r="F54" s="6" t="s">
        <v>642</v>
      </c>
      <c r="G54" s="6"/>
      <c r="H54" s="6"/>
      <c r="I54" s="6"/>
      <c r="J54" s="6" t="s">
        <v>421</v>
      </c>
    </row>
    <row r="55" customFormat="false" ht="15" hidden="false" customHeight="false" outlineLevel="0" collapsed="false">
      <c r="A55" s="3" t="s">
        <v>643</v>
      </c>
      <c r="B55" s="3"/>
      <c r="C55" s="3"/>
      <c r="D55" s="18" t="n">
        <f aca="false">$D$12*$D$13</f>
        <v>960</v>
      </c>
      <c r="E55" s="8" t="s">
        <v>577</v>
      </c>
      <c r="J55" s="13" t="s">
        <v>644</v>
      </c>
    </row>
    <row r="56" customFormat="false" ht="15" hidden="false" customHeight="false" outlineLevel="0" collapsed="false">
      <c r="A56" s="3" t="s">
        <v>645</v>
      </c>
      <c r="B56" s="3"/>
      <c r="C56" s="3"/>
      <c r="D56" s="18" t="n">
        <f aca="false">$D$14</f>
        <v>100</v>
      </c>
      <c r="E56" s="8" t="s">
        <v>646</v>
      </c>
      <c r="F56" s="24" t="str">
        <f aca="false">IF(D56&gt;=$D$19+$D$18,"UYGUN","UYGUN DEĞİL")</f>
        <v>UYGUN</v>
      </c>
      <c r="J56" s="13" t="s">
        <v>647</v>
      </c>
    </row>
    <row r="57" customFormat="false" ht="15" hidden="false" customHeight="false" outlineLevel="0" collapsed="false">
      <c r="A57" s="3" t="s">
        <v>648</v>
      </c>
      <c r="B57" s="3"/>
      <c r="C57" s="3"/>
      <c r="D57" s="18" t="n">
        <f aca="false">$D$11</f>
        <v>10</v>
      </c>
      <c r="E57" s="8" t="s">
        <v>579</v>
      </c>
      <c r="F57" s="24" t="str">
        <f aca="false">IF(D57&gt;=$D$31,"UYGUN","UYGUN DEĞİL")</f>
        <v>UYGUN</v>
      </c>
      <c r="J57" s="13" t="s">
        <v>649</v>
      </c>
    </row>
    <row r="58" customFormat="false" ht="15" hidden="false" customHeight="false" outlineLevel="0" collapsed="false">
      <c r="A58" s="3" t="s">
        <v>650</v>
      </c>
      <c r="B58" s="3"/>
      <c r="C58" s="3"/>
      <c r="D58" s="18" t="n">
        <f aca="false">$D$31</f>
        <v>7.68536154160241</v>
      </c>
      <c r="E58" s="8" t="s">
        <v>579</v>
      </c>
      <c r="J58" s="13" t="s">
        <v>651</v>
      </c>
    </row>
    <row r="60" customFormat="false" ht="15" hidden="false" customHeight="false" outlineLevel="0" collapsed="false">
      <c r="A60" s="25" t="s">
        <v>652</v>
      </c>
    </row>
    <row r="61" customFormat="false" ht="15" hidden="false" customHeight="false" outlineLevel="0" collapsed="false">
      <c r="A61" s="25" t="s">
        <v>653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2026-10-24T19:46:50Z</dcterms:created>
  <dc:creator>openpyxl</dc:creator>
  <dc:description/>
  <dc:language>en-US</dc:language>
  <cp:lastModifiedBy/>
  <dcterms:modified xsi:type="dcterms:W3CDTF">2026-10-24T19:46:50Z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