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Topraklama ve Yıldırım Malzeme" sheetId="4" state="visible" r:id="rId6"/>
    <sheet name="Kesici Selektivit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<sst xmlns="http://schemas.openxmlformats.org/spreadsheetml/2006/main" count="785" uniqueCount="472">
  <si>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</si>
  <si>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</si>
  <si>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</si>
  <si>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</si>
  <si>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</si>
  <si>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</si>
  <si>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</si>
  <si>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</si>
  <si>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</si>
  <si>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</si>
  <si>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</si>
  <si>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</si>
  <si>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</si>
  <si>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</si>
  <si>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</si>
  <si>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</si>
  <si>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</si>
  <si>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</si>
  <si>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</si>
  <si>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</si>
  <si>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</si>
  <si>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</si>
  <si>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</si>
  <si>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</si>
  <si>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</si>
  <si>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</si>
  <si>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</si>
  <si>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</si>
  <si>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</si>
  <si>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</si>
  <si>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</si>
  <si>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</si>
  <si>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AY1</t>
  </si>
  <si>
    <t xml:space="preserve">Aydınlatma-1</t>
  </si>
  <si>
    <t xml:space="preserve">AY2</t>
  </si>
  <si>
    <t xml:space="preserve">Aydınlatma-2</t>
  </si>
  <si>
    <t xml:space="preserve">AY3</t>
  </si>
  <si>
    <t xml:space="preserve">Aydınlatma-3</t>
  </si>
  <si>
    <t xml:space="preserve">PR1</t>
  </si>
  <si>
    <t xml:space="preserve">Priz-1</t>
  </si>
  <si>
    <t xml:space="preserve">PR2</t>
  </si>
  <si>
    <t xml:space="preserve">Priz-2</t>
  </si>
  <si>
    <t xml:space="preserve">PR3</t>
  </si>
  <si>
    <t xml:space="preserve">Priz-3</t>
  </si>
  <si>
    <t xml:space="preserve">KR1</t>
  </si>
  <si>
    <t xml:space="preserve">Kamera / NVR (UPS1)</t>
  </si>
  <si>
    <t xml:space="preserve">SS1</t>
  </si>
  <si>
    <t xml:space="preserve">Ses sistemi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</si>
  <si>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</si>
  <si>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</si>
  <si>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</si>
  <si>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</si>
  <si>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</si>
  <si>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</si>
  <si>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</si>
  <si>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</si>
  <si>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</si>
  <si>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</si>
  <si>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</si>
  <si>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</si>
  <si>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</si>
  <si>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</si>
  <si>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</si>
  <si>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</si>
  <si>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</si>
  <si>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</si>
  <si>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</si>
  <si>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</si>
  <si>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</si>
  <si>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</si>
  <si>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</si>
  <si>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</si>
  <si>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</si>
  <si>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</si>
  <si>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</si>
  <si>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</si>
  <si>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</si>
  <si>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</si>
  <si>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</si>
  <si>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</si>
  <si>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</si>
  <si>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</si>
  <si>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</si>
  <si>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</si>
  <si>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</si>
  <si>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</si>
  <si>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</si>
  <si>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</si>
  <si>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</si>
  <si>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</si>
  <si>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</si>
  <si>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</si>
  <si>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</si>
  <si>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</si>
  <si>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</si>
  <si>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</si>
  <si>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</si>
  <si>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</si>
  <si>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</si>
  <si>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</si>
  <si>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</si>
  <si>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</si>
  <si>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</si>
  <si>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</si>
  <si>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</si>
  <si>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</si>
  <si>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</si>
  <si>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</si>
  <si>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</si>
  <si>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</si>
  <si>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</si>
  <si>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</si>
  <si>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</si>
  <si>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</si>
  <si>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</si>
  <si>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</si>
  <si>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</si>
  <si>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3x2,5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</si>
  <si>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</si>
  <si>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</si>
  <si>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</si>
  <si>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</si>
  <si>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</si>
  <si>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W12</t>
  </si>
  <si>
    <t xml:space="preserve">W13</t>
  </si>
  <si>
    <t xml:space="preserve">RCBO 1P+N C10, 30 mA</t>
  </si>
  <si>
    <t xml:space="preserve">W14</t>
  </si>
  <si>
    <t xml:space="preserve">W15</t>
  </si>
  <si>
    <t xml:space="preserve">NHXH FE180/E90 3x2,5 mm² Cu</t>
  </si>
  <si>
    <t xml:space="preserve">W16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</si>
  <si>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</si>
  <si>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</si>
  <si>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</si>
  <si>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</si>
  <si>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</si>
  <si>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</si>
  <si>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</si>
  <si>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</si>
  <si>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</si>
  <si>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</si>
  <si>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</si>
  <si>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</si>
  <si>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</si>
  <si>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</si>
  <si>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</si>
  <si>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</si>
  <si>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</si>
  <si>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</si>
  <si>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</si>
  <si>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</si>
  <si>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</si>
  <si>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</si>
  <si>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</si>
  <si>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</si>
  <si>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</si>
  <si>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</si>
  <si>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</si>
  <si>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</si>
  <si>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</si>
  <si>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</si>
  <si>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</si>
  <si>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</si>
  <si>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</si>
  <si>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</si>
  <si>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</si>
  <si>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</si>
  <si>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</si>
  <si>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</si>
  <si>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</si>
  <si>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</si>
  <si>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</si>
  <si>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</si>
  <si>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</si>
  <si>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</si>
  <si>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</si>
  <si>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</si>
  <si>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</si>
  <si>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</si>
  <si>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</si>
  <si>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</si>
  <si>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</si>
  <si>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</si>
  <si>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</si>
  <si>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</si>
  <si>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</si>
  <si>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</si>
  <si>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</si>
  <si>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</si>
  <si>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</si>
  <si>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</si>
  <si>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</si>
  <si>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</si>
  <si>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</si>
  <si>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</si>
  <si>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</si>
  <si>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</si>
  <si>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</si>
  <si>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</si>
  <si>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</si>
  <si>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</si>
  <si>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</si>
  <si>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</si>
  <si>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</si>
  <si>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</si>
  <si>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</si>
  <si>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</si>
  <si>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</si>
  <si>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</si>
  <si>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</si>
  <si>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</si>
  <si>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</si>
  <si>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</si>
  <si>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AY1–AY3</t>
  </si>
  <si>
    <t xml:space="preserve">Aydınlatma hattı RCBO</t>
  </si>
  <si>
    <t xml:space="preserve">1P+N C16 A, 30 mA, Tip A, 10 kA</t>
  </si>
  <si>
    <t xml:space="preserve">PR1–PR3</t>
  </si>
  <si>
    <t xml:space="preserve">Priz hattı RCBO</t>
  </si>
  <si>
    <t xml:space="preserve">Kamera hattı RCBO</t>
  </si>
  <si>
    <t xml:space="preserve">1P+N C10 A, 30 mA, Tip A, 10 kA</t>
  </si>
  <si>
    <t xml:space="preserve">Ses sistemi hattı RCBO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</si>
  <si>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</si>
  <si>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</si>
  <si>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</si>
  <si>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</si>
  <si>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</si>
  <si>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</si>
  <si>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</si>
  <si>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</si>
  <si>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</si>
  <si>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</si>
  <si>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</si>
  <si>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</si>
  <si>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</si>
  <si>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</si>
  <si>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</si>
  <si>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</si>
  <si>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</si>
  <si>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</si>
  <si>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</si>
  <si>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</si>
  <si>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</si>
  <si>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</si>
  <si>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</si>
  <si>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</si>
  <si>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</si>
  <si>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</si>
  <si>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</si>
  <si>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</si>
  <si>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</si>
  <si>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</si>
  <si>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</si>
  <si>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</si>
  <si>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</si>
  <si>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</si>
  <si>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</si>
  <si>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</si>
  <si>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</si>
  <si>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</si>
  <si>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</si>
  <si>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</si>
  <si>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</si>
  <si>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</si>
  <si>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</si>
  <si>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cosφ=0,80</t>
  </si>
  <si>
    <t xml:space="preserve">Ç1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</si>
  <si>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</si>
  <si>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</si>
  <si>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</si>
  <si>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W1–W6</t>
  </si>
  <si>
    <t xml:space="preserve">Alıcı besleme kablosu (pano - alıcı)</t>
  </si>
  <si>
    <t xml:space="preserve">NYY 5x4 mm² Cu, L=25,0 m</t>
  </si>
  <si>
    <t xml:space="preserve">W7–W9</t>
  </si>
  <si>
    <t xml:space="preserve">NYY 3x2,5 mm² Cu, L=22,0 m</t>
  </si>
  <si>
    <t xml:space="preserve">W10–W12</t>
  </si>
  <si>
    <t xml:space="preserve">NYY 3x2,5 mm² Cu, L=30,0 m</t>
  </si>
  <si>
    <t xml:space="preserve">NYY 3x2,5 mm² Cu, L=28,0 m</t>
  </si>
  <si>
    <t xml:space="preserve">W15, W16</t>
  </si>
  <si>
    <t xml:space="preserve">NHXH FE180/E90 3x2,5 mm² Cu, L=35,0 m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</si>
  <si>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</si>
  <si>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</si>
  <si>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</si>
  <si>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</si>
  <si>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</si>
  <si>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</si>
  <si>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</si>
  <si>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</si>
  <si>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</si>
  <si>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</si>
  <si>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</si>
  <si>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</si>
  <si>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</si>
  <si>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</si>
  <si>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</si>
  <si>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</si>
  <si>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</si>
  <si>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</si>
  <si>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</si>
  <si>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</si>
  <si>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</si>
  <si>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</si>
  <si>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</si>
  <si>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</si>
  <si>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</si>
  <si>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</si>
  <si>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</si>
  <si>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</si>
  <si>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</si>
  <si>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</si>
  <si>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m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</si>
  <si>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</si>
  <si>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</si>
  <si>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</si>
  <si>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</si>
  <si>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</si>
  <si>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</si>
  <si>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</si>
  <si>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</si>
  <si>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</si>
  <si>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</si>
  <si>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</si>
  <si>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</si>
  <si>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</si>
  <si>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</si>
  <si>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</si>
  <si>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</si>
  <si>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</si>
  <si>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</si>
  <si>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</si>
  <si>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</si>
  <si>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</si>
  <si>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</si>
  <si>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</si>
  <si>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</si>
  <si>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</si>
  <si>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</si>
  <si>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</si>
  <si>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</si>
  <si>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</si>
  <si>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</si>
  <si>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</si>
  <si>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</si>
  <si>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</si>
  <si>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</si>
  <si>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</si>
  <si>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</si>
  <si>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</si>
  <si>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</si>
  <si>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</si>
  <si>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</si>
  <si>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</si>
  <si>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</si>
  <si>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</si>
  <si>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</si>
  <si>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</si>
  <si>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</si>
  <si>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</si>
  <si>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</si>
  <si>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</si>
  <si>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</si>
  <si>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</si>
  <si>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</si>
  <si>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</si>
  <si>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</si>
  <si>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</si>
  <si>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</si>
  <si>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</si>
  <si>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</si>
  <si>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</si>
  <si>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</si>
  <si>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</si>
  <si>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</si>
  <si>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</si>
  <si>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</si>
  <si>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</si>
  <si>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</si>
  <si>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</si>
  <si>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</si>
  <si>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</si>
  <si>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</si>
  <si>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</si>
  <si>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</si>
  <si>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</si>
  <si>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</si>
  <si>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</si>
  <si>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</si>
  <si>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</si>
  <si>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</si>
  <si>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</si>
  <si>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</si>
  <si>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</si>
  <si>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</si>
  <si>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</si>
  <si>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</si>
  <si>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</si>
  <si>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</si>
  <si>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</si>
  <si>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</si>
  <si>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</si>
  <si>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</si>
  <si>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</si>
  <si>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</si>
  <si>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</si>
  <si>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</si>
  <si>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</si>
  <si>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</si>
  <si>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</si>
  <si>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</si>
  <si>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</si>
  <si>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</si>
  <si>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</si>
  <si>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</si>
  <si>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</si>
  <si>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</si>
  <si>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</si>
  <si>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</si>
  <si>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</si>
  <si>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</si>
  <si>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</si>
  <si>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</si>
  <si>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</si>
  <si>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</si>
  <si>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</si>
  <si>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</si>
  <si>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</si>
  <si>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Not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</si>
  <si>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</si>
  <si>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</si>
  <si>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</si>
  <si>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</si>
  <si>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</si>
  <si>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</si>
  <si>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</si>
  <si>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</si>
  <si>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</si>
  <si>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</si>
  <si>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</si>
  <si>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</si>
  <si>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</si>
  <si>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AY1–AY3, PR1–PR3, KR1, SS1, AC1, YA1</t>
  </si>
  <si>
    <t xml:space="preserve">RCBO 1P+N, 30 mA, Tip A</t>
  </si>
  <si>
    <t xml:space="preserve">10-16</t>
  </si>
  <si>
    <t xml:space="preserve">6 kA yetmez: Ik &gt; 6 kA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</si>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</sst>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8" customFormat="false" ht="15" hidden="false" customHeight="false" outlineLevel="0" collapsed="false">
      <c r="H8" s="6" t="s">
        <v>7</v>
      </c>
      <c r="I8" s="6"/>
      <c r="J8" s="6"/>
      <c r="K8" s="6" t="s">
        <v>8</v>
      </c>
      <c r="L8" s="6"/>
      <c r="M8" s="6"/>
    </row>
    <row r="9" customFormat="false" ht="23.85" hidden="false" customHeight="false" outlineLevel="0" collapsed="false">
      <c r="A9" s="7" t="s">
        <v>9</v>
      </c>
      <c r="B9" s="7" t="s">
        <v>10</v>
      </c>
      <c r="C9" s="7" t="s">
        <v>11</v>
      </c>
      <c r="D9" s="7" t="s">
        <v>12</v>
      </c>
      <c r="E9" s="7" t="s">
        <v>13</v>
      </c>
      <c r="F9" s="7" t="s">
        <v>14</v>
      </c>
      <c r="G9" s="7" t="s">
        <v>15</v>
      </c>
      <c r="H9" s="7" t="s">
        <v>16</v>
      </c>
      <c r="I9" s="7" t="s">
        <v>17</v>
      </c>
      <c r="J9" s="7" t="s">
        <v>18</v>
      </c>
      <c r="K9" s="7" t="s">
        <v>16</v>
      </c>
      <c r="L9" s="7" t="s">
        <v>17</v>
      </c>
      <c r="M9" s="7" t="s">
        <v>18</v>
      </c>
    </row>
    <row r="10" customFormat="false" ht="15" hidden="false" customHeight="false" outlineLevel="0" collapsed="false">
      <c r="A10" s="3" t="s">
        <v>19</v>
      </c>
      <c r="B10" s="8" t="s">
        <v>20</v>
      </c>
      <c r="C10" s="9" t="n">
        <v>7</v>
      </c>
      <c r="D10" s="10" t="s">
        <v>21</v>
      </c>
      <c r="E10" s="9" t="n">
        <v>0.8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12.0471014492754</v>
      </c>
      <c r="L10" s="12" t="n">
        <f aca="false">IF($D10="3F",$G10*1000/(3*$B$4*$E10),IF($D10=L$9,$G10*1000/($B$4*$E10),0))</f>
        <v>12.0471014492754</v>
      </c>
      <c r="M10" s="12" t="n">
        <f aca="false">IF($D10="3F",$G10*1000/(3*$B$4*$E10),IF($D10=M$9,$G10*1000/($B$4*$E10),0))</f>
        <v>12.0471014492754</v>
      </c>
    </row>
    <row r="11" customFormat="false" ht="15" hidden="false" customHeight="false" outlineLevel="0" collapsed="false">
      <c r="A11" s="3" t="s">
        <v>22</v>
      </c>
      <c r="B11" s="8" t="s">
        <v>23</v>
      </c>
      <c r="C11" s="9" t="n">
        <v>7</v>
      </c>
      <c r="D11" s="10" t="s">
        <v>21</v>
      </c>
      <c r="E11" s="9" t="n">
        <v>0.8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12.0471014492754</v>
      </c>
      <c r="L11" s="12" t="n">
        <f aca="false">IF($D11="3F",$G11*1000/(3*$B$4*$E11),IF($D11=L$9,$G11*1000/($B$4*$E11),0))</f>
        <v>12.0471014492754</v>
      </c>
      <c r="M11" s="12" t="n">
        <f aca="false">IF($D11="3F",$G11*1000/(3*$B$4*$E11),IF($D11=M$9,$G11*1000/($B$4*$E11),0))</f>
        <v>12.0471014492754</v>
      </c>
    </row>
    <row r="12" customFormat="false" ht="15" hidden="false" customHeight="false" outlineLevel="0" collapsed="false">
      <c r="A12" s="3" t="s">
        <v>24</v>
      </c>
      <c r="B12" s="8" t="s">
        <v>25</v>
      </c>
      <c r="C12" s="9" t="n">
        <v>7</v>
      </c>
      <c r="D12" s="10" t="s">
        <v>21</v>
      </c>
      <c r="E12" s="9" t="n">
        <v>0.8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12.0471014492754</v>
      </c>
      <c r="L12" s="12" t="n">
        <f aca="false">IF($D12="3F",$G12*1000/(3*$B$4*$E12),IF($D12=L$9,$G12*1000/($B$4*$E12),0))</f>
        <v>12.0471014492754</v>
      </c>
      <c r="M12" s="12" t="n">
        <f aca="false">IF($D12="3F",$G12*1000/(3*$B$4*$E12),IF($D12=M$9,$G12*1000/($B$4*$E12),0))</f>
        <v>12.0471014492754</v>
      </c>
    </row>
    <row r="13" customFormat="false" ht="15" hidden="false" customHeight="false" outlineLevel="0" collapsed="false">
      <c r="A13" s="3" t="s">
        <v>26</v>
      </c>
      <c r="B13" s="8" t="s">
        <v>27</v>
      </c>
      <c r="C13" s="9" t="n">
        <v>7</v>
      </c>
      <c r="D13" s="10" t="s">
        <v>21</v>
      </c>
      <c r="E13" s="9" t="n">
        <v>0.8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12.0471014492754</v>
      </c>
      <c r="L13" s="12" t="n">
        <f aca="false">IF($D13="3F",$G13*1000/(3*$B$4*$E13),IF($D13=L$9,$G13*1000/($B$4*$E13),0))</f>
        <v>12.0471014492754</v>
      </c>
      <c r="M13" s="12" t="n">
        <f aca="false">IF($D13="3F",$G13*1000/(3*$B$4*$E13),IF($D13=M$9,$G13*1000/($B$4*$E13),0))</f>
        <v>12.0471014492754</v>
      </c>
    </row>
    <row r="14" customFormat="false" ht="15" hidden="false" customHeight="false" outlineLevel="0" collapsed="false">
      <c r="A14" s="3" t="s">
        <v>28</v>
      </c>
      <c r="B14" s="8" t="s">
        <v>29</v>
      </c>
      <c r="C14" s="9" t="n">
        <v>7</v>
      </c>
      <c r="D14" s="10" t="s">
        <v>21</v>
      </c>
      <c r="E14" s="9" t="n">
        <v>0.8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12.0471014492754</v>
      </c>
      <c r="L14" s="12" t="n">
        <f aca="false">IF($D14="3F",$G14*1000/(3*$B$4*$E14),IF($D14=L$9,$G14*1000/($B$4*$E14),0))</f>
        <v>12.0471014492754</v>
      </c>
      <c r="M14" s="12" t="n">
        <f aca="false">IF($D14="3F",$G14*1000/(3*$B$4*$E14),IF($D14=M$9,$G14*1000/($B$4*$E14),0))</f>
        <v>12.0471014492754</v>
      </c>
    </row>
    <row r="15" customFormat="false" ht="15" hidden="false" customHeight="false" outlineLevel="0" collapsed="false">
      <c r="A15" s="3" t="s">
        <v>30</v>
      </c>
      <c r="B15" s="8" t="s">
        <v>31</v>
      </c>
      <c r="C15" s="9" t="n">
        <v>7</v>
      </c>
      <c r="D15" s="10" t="s">
        <v>21</v>
      </c>
      <c r="E15" s="9" t="n">
        <v>0.8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12.0471014492754</v>
      </c>
      <c r="L15" s="12" t="n">
        <f aca="false">IF($D15="3F",$G15*1000/(3*$B$4*$E15),IF($D15=L$9,$G15*1000/($B$4*$E15),0))</f>
        <v>12.0471014492754</v>
      </c>
      <c r="M15" s="12" t="n">
        <f aca="false">IF($D15="3F",$G15*1000/(3*$B$4*$E15),IF($D15=M$9,$G15*1000/($B$4*$E15),0))</f>
        <v>12.0471014492754</v>
      </c>
    </row>
    <row r="16" customFormat="false" ht="15" hidden="false" customHeight="false" outlineLevel="0" collapsed="false">
      <c r="A16" s="3" t="s">
        <v>32</v>
      </c>
      <c r="B16" s="8" t="s">
        <v>33</v>
      </c>
      <c r="C16" s="9" t="n">
        <v>2</v>
      </c>
      <c r="D16" s="10" t="s">
        <v>16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34</v>
      </c>
      <c r="B17" s="8" t="s">
        <v>35</v>
      </c>
      <c r="C17" s="9" t="n">
        <v>2</v>
      </c>
      <c r="D17" s="10" t="s">
        <v>17</v>
      </c>
      <c r="E17" s="9" t="n">
        <v>0.95</v>
      </c>
      <c r="F17" s="9" t="n">
        <v>1</v>
      </c>
      <c r="G17" s="11" t="n">
        <f aca="false">C17*F17</f>
        <v>2</v>
      </c>
      <c r="H17" s="11" t="n">
        <f aca="false">IF($D17="3F",$G17/3,IF($D17=H$9,$G17,0))</f>
        <v>0</v>
      </c>
      <c r="I17" s="11" t="n">
        <f aca="false">IF($D17="3F",$G17/3,IF($D17=I$9,$G17,0))</f>
        <v>2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9.1533180778032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36</v>
      </c>
      <c r="B18" s="8" t="s">
        <v>37</v>
      </c>
      <c r="C18" s="9" t="n">
        <v>2</v>
      </c>
      <c r="D18" s="10" t="s">
        <v>18</v>
      </c>
      <c r="E18" s="9" t="n">
        <v>0.95</v>
      </c>
      <c r="F18" s="9" t="n">
        <v>1</v>
      </c>
      <c r="G18" s="11" t="n">
        <f aca="false">C18*F18</f>
        <v>2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2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9.1533180778032</v>
      </c>
    </row>
    <row r="19" customFormat="false" ht="15" hidden="false" customHeight="false" outlineLevel="0" collapsed="false">
      <c r="A19" s="3" t="s">
        <v>38</v>
      </c>
      <c r="B19" s="8" t="s">
        <v>39</v>
      </c>
      <c r="C19" s="9" t="n">
        <v>2</v>
      </c>
      <c r="D19" s="10" t="s">
        <v>16</v>
      </c>
      <c r="E19" s="9" t="n">
        <v>0.9</v>
      </c>
      <c r="F19" s="9" t="n">
        <v>0.6</v>
      </c>
      <c r="G19" s="11" t="n">
        <f aca="false">C19*F19</f>
        <v>1.2</v>
      </c>
      <c r="H19" s="11" t="n">
        <f aca="false">IF($D19="3F",$G19/3,IF($D19=H$9,$G19,0))</f>
        <v>1.2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5.79710144927536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40</v>
      </c>
      <c r="B20" s="8" t="s">
        <v>41</v>
      </c>
      <c r="C20" s="9" t="n">
        <v>2</v>
      </c>
      <c r="D20" s="10" t="s">
        <v>17</v>
      </c>
      <c r="E20" s="9" t="n">
        <v>0.9</v>
      </c>
      <c r="F20" s="9" t="n">
        <v>0.6</v>
      </c>
      <c r="G20" s="11" t="n">
        <f aca="false">C20*F20</f>
        <v>1.2</v>
      </c>
      <c r="H20" s="11" t="n">
        <f aca="false">IF($D20="3F",$G20/3,IF($D20=H$9,$G20,0))</f>
        <v>0</v>
      </c>
      <c r="I20" s="11" t="n">
        <f aca="false">IF($D20="3F",$G20/3,IF($D20=I$9,$G20,0))</f>
        <v>1.2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0</v>
      </c>
      <c r="L20" s="12" t="n">
        <f aca="false">IF($D20="3F",$G20*1000/(3*$B$4*$E20),IF($D20=L$9,$G20*1000/($B$4*$E20),0))</f>
        <v>5.79710144927536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42</v>
      </c>
      <c r="B21" s="8" t="s">
        <v>43</v>
      </c>
      <c r="C21" s="9" t="n">
        <v>2</v>
      </c>
      <c r="D21" s="10" t="s">
        <v>18</v>
      </c>
      <c r="E21" s="9" t="n">
        <v>0.9</v>
      </c>
      <c r="F21" s="9" t="n">
        <v>0.6</v>
      </c>
      <c r="G21" s="11" t="n">
        <f aca="false">C21*F21</f>
        <v>1.2</v>
      </c>
      <c r="H21" s="11" t="n">
        <f aca="false">IF($D21="3F",$G21/3,IF($D21=H$9,$G21,0))</f>
        <v>0</v>
      </c>
      <c r="I21" s="11" t="n">
        <f aca="false">IF($D21="3F",$G21/3,IF($D21=I$9,$G21,0))</f>
        <v>0</v>
      </c>
      <c r="J21" s="11" t="n">
        <f aca="false">IF($D21="3F",$G21/3,IF($D21=J$9,$G21,0))</f>
        <v>1.2</v>
      </c>
      <c r="K21" s="12" t="n">
        <f aca="false">IF($D21="3F",$G21*1000/(3*$B$4*$E21),IF($D21=K$9,$G21*1000/($B$4*$E21),0))</f>
        <v>0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5.79710144927536</v>
      </c>
    </row>
    <row r="22" customFormat="false" ht="15" hidden="false" customHeight="false" outlineLevel="0" collapsed="false">
      <c r="A22" s="3" t="s">
        <v>44</v>
      </c>
      <c r="B22" s="8" t="s">
        <v>45</v>
      </c>
      <c r="C22" s="9" t="n">
        <v>1.4</v>
      </c>
      <c r="D22" s="10" t="s">
        <v>18</v>
      </c>
      <c r="E22" s="9" t="n">
        <v>0.9</v>
      </c>
      <c r="F22" s="9" t="n">
        <v>1</v>
      </c>
      <c r="G22" s="11" t="n">
        <f aca="false">C22*F22</f>
        <v>1.4</v>
      </c>
      <c r="H22" s="11" t="n">
        <f aca="false">IF($D22="3F",$G22/3,IF($D22=H$9,$G22,0))</f>
        <v>0</v>
      </c>
      <c r="I22" s="11" t="n">
        <f aca="false">IF($D22="3F",$G22/3,IF($D22=I$9,$G22,0))</f>
        <v>0</v>
      </c>
      <c r="J22" s="11" t="n">
        <f aca="false">IF($D22="3F",$G22/3,IF($D22=J$9,$G22,0))</f>
        <v>1.4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0</v>
      </c>
      <c r="M22" s="12" t="n">
        <f aca="false">IF($D22="3F",$G22*1000/(3*$B$4*$E22),IF($D22=M$9,$G22*1000/($B$4*$E22),0))</f>
        <v>6.76328502415459</v>
      </c>
    </row>
    <row r="23" customFormat="false" ht="15" hidden="false" customHeight="false" outlineLevel="0" collapsed="false">
      <c r="A23" s="3" t="s">
        <v>46</v>
      </c>
      <c r="B23" s="8" t="s">
        <v>47</v>
      </c>
      <c r="C23" s="9" t="n">
        <v>1.8</v>
      </c>
      <c r="D23" s="10" t="s">
        <v>16</v>
      </c>
      <c r="E23" s="9" t="n">
        <v>0.9</v>
      </c>
      <c r="F23" s="9" t="n">
        <v>0.9</v>
      </c>
      <c r="G23" s="11" t="n">
        <f aca="false">C23*F23</f>
        <v>1.62</v>
      </c>
      <c r="H23" s="11" t="n">
        <f aca="false">IF($D23="3F",$G23/3,IF($D23=H$9,$G23,0))</f>
        <v>1.62</v>
      </c>
      <c r="I23" s="11" t="n">
        <f aca="false">IF($D23="3F",$G23/3,IF($D23=I$9,$G23,0))</f>
        <v>0</v>
      </c>
      <c r="J23" s="11" t="n">
        <f aca="false">IF($D23="3F",$G23/3,IF($D23=J$9,$G23,0))</f>
        <v>0</v>
      </c>
      <c r="K23" s="12" t="n">
        <f aca="false">IF($D23="3F",$G23*1000/(3*$B$4*$E23),IF($D23=K$9,$G23*1000/($B$4*$E23),0))</f>
        <v>7.82608695652174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0</v>
      </c>
    </row>
    <row r="24" customFormat="false" ht="15" hidden="false" customHeight="false" outlineLevel="0" collapsed="false">
      <c r="A24" s="3" t="s">
        <v>48</v>
      </c>
      <c r="B24" s="8" t="s">
        <v>49</v>
      </c>
      <c r="C24" s="9" t="n">
        <v>0.5</v>
      </c>
      <c r="D24" s="10" t="s">
        <v>17</v>
      </c>
      <c r="E24" s="9" t="n">
        <v>0.95</v>
      </c>
      <c r="F24" s="9" t="n">
        <v>1</v>
      </c>
      <c r="G24" s="11" t="n">
        <f aca="false">C24*F24</f>
        <v>0.5</v>
      </c>
      <c r="H24" s="11" t="n">
        <f aca="false">IF($D24="3F",$G24/3,IF($D24=H$9,$G24,0))</f>
        <v>0</v>
      </c>
      <c r="I24" s="11" t="n">
        <f aca="false">IF($D24="3F",$G24/3,IF($D24=I$9,$G24,0))</f>
        <v>0.5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2.2883295194508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50</v>
      </c>
      <c r="B25" s="8" t="s">
        <v>51</v>
      </c>
      <c r="C25" s="9" t="n">
        <v>0.3</v>
      </c>
      <c r="D25" s="10" t="s">
        <v>17</v>
      </c>
      <c r="E25" s="9" t="n">
        <v>0.95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</v>
      </c>
      <c r="I25" s="11" t="n">
        <f aca="false">IF($D25="3F",$G25/3,IF($D25=I$9,$G25,0))</f>
        <v>0.3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0</v>
      </c>
      <c r="L25" s="12" t="n">
        <f aca="false">IF($D25="3F",$G25*1000/(3*$B$4*$E25),IF($D25=L$9,$G25*1000/($B$4*$E25),0))</f>
        <v>1.37299771167048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52</v>
      </c>
      <c r="B26" s="8" t="s">
        <v>53</v>
      </c>
      <c r="C26" s="9" t="n">
        <v>0</v>
      </c>
      <c r="D26" s="10" t="s">
        <v>54</v>
      </c>
      <c r="E26" s="9" t="n">
        <v>1</v>
      </c>
      <c r="F26" s="9" t="n">
        <v>1</v>
      </c>
      <c r="G26" s="11" t="n">
        <f aca="false">C26*F26</f>
        <v>0</v>
      </c>
      <c r="H26" s="11" t="n">
        <f aca="false">IF($D26="3F",$G26/3,IF($D26=H$9,$G26,0))</f>
        <v>0</v>
      </c>
      <c r="I26" s="11" t="n">
        <f aca="false">IF($D26="3F",$G26/3,IF($D26=I$9,$G26,0))</f>
        <v>0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0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53</v>
      </c>
      <c r="C27" s="9" t="n">
        <v>0</v>
      </c>
      <c r="D27" s="10" t="s">
        <v>54</v>
      </c>
      <c r="E27" s="9" t="n">
        <v>1</v>
      </c>
      <c r="F27" s="9" t="n">
        <v>1</v>
      </c>
      <c r="G27" s="11" t="n">
        <f aca="false">C27*F27</f>
        <v>0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0</v>
      </c>
    </row>
    <row r="28" customFormat="false" ht="15" hidden="false" customHeight="false" outlineLevel="0" collapsed="false">
      <c r="A28" s="3" t="s">
        <v>56</v>
      </c>
      <c r="B28" s="8" t="s">
        <v>53</v>
      </c>
      <c r="C28" s="9" t="n">
        <v>0</v>
      </c>
      <c r="D28" s="10" t="s">
        <v>54</v>
      </c>
      <c r="E28" s="9" t="n">
        <v>1</v>
      </c>
      <c r="F28" s="9" t="n">
        <v>1</v>
      </c>
      <c r="G28" s="11" t="n">
        <f aca="false">C28*F28</f>
        <v>0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0</v>
      </c>
    </row>
    <row r="29" customFormat="false" ht="15" hidden="false" customHeight="false" outlineLevel="0" collapsed="false">
      <c r="A29" s="13" t="s">
        <v>57</v>
      </c>
      <c r="B29" s="14"/>
      <c r="C29" s="15" t="n">
        <f aca="false">SUM(C10:C28)</f>
        <v>58</v>
      </c>
      <c r="D29" s="14"/>
      <c r="E29" s="14"/>
      <c r="F29" s="14"/>
      <c r="G29" s="15" t="n">
        <f aca="false">SUM(G10:G28)</f>
        <v>53.32</v>
      </c>
      <c r="H29" s="15" t="n">
        <f aca="false">SUM(H10:H28)</f>
        <v>18.12</v>
      </c>
      <c r="I29" s="15" t="n">
        <f aca="false">SUM(I10:I28)</f>
        <v>17.3</v>
      </c>
      <c r="J29" s="15" t="n">
        <f aca="false">SUM(J10:J28)</f>
        <v>17.9</v>
      </c>
      <c r="K29" s="16" t="n">
        <f aca="false">SUM(K10:K28)</f>
        <v>95.0591151792525</v>
      </c>
      <c r="L29" s="16" t="n">
        <f aca="false">SUM(L10:L28)</f>
        <v>90.894355453852</v>
      </c>
      <c r="M29" s="16" t="n">
        <f aca="false">SUM(M10:M28)</f>
        <v>93.9963132468853</v>
      </c>
    </row>
    <row r="31" customFormat="false" ht="15" hidden="false" customHeight="false" outlineLevel="0" collapsed="false">
      <c r="A31" s="3" t="s">
        <v>58</v>
      </c>
      <c r="B31" s="3"/>
      <c r="C31" s="3"/>
    </row>
    <row r="32" customFormat="false" ht="15" hidden="false" customHeight="false" outlineLevel="0" collapsed="false">
      <c r="A32" s="3" t="s">
        <v>11</v>
      </c>
      <c r="B32" s="17" t="n">
        <f aca="false">C29</f>
        <v>58</v>
      </c>
    </row>
    <row r="33" customFormat="false" ht="15" hidden="false" customHeight="false" outlineLevel="0" collapsed="false">
      <c r="A33" s="3" t="s">
        <v>15</v>
      </c>
      <c r="B33" s="17" t="n">
        <f aca="false">G29</f>
        <v>53.32</v>
      </c>
    </row>
    <row r="34" customFormat="false" ht="15" hidden="false" customHeight="false" outlineLevel="0" collapsed="false">
      <c r="A34" s="3" t="s">
        <v>59</v>
      </c>
      <c r="B34" s="17" t="n">
        <f aca="false">(MAX(H29:J29)-MIN(H29:J29))/AVERAGE(H29:J29)*100</f>
        <v>4.61365341335334</v>
      </c>
    </row>
    <row r="35" customFormat="false" ht="15" hidden="false" customHeight="false" outlineLevel="0" collapsed="false">
      <c r="A35" s="3" t="s">
        <v>60</v>
      </c>
      <c r="B35" s="18" t="str">
        <f aca="false">IF(B34&lt;=10,"UYGUN","UYGUN DEĞİL")</f>
        <v>UYGUN</v>
      </c>
    </row>
    <row r="36" customFormat="false" ht="15" hidden="false" customHeight="false" outlineLevel="0" collapsed="false">
      <c r="A36" s="3" t="s">
        <v>61</v>
      </c>
      <c r="B36" s="19" t="n">
        <f aca="false">MAX(K29:M29)</f>
        <v>95.0591151792525</v>
      </c>
    </row>
    <row r="37" customFormat="false" ht="15" hidden="false" customHeight="false" outlineLevel="0" collapsed="false">
      <c r="A37" s="3" t="s">
        <v>62</v>
      </c>
      <c r="B37" s="19" t="n">
        <f aca="false">AVERAGE(K29:M29)</f>
        <v>93.3165946266633</v>
      </c>
    </row>
    <row r="38" customFormat="false" ht="15" hidden="false" customHeight="false" outlineLevel="0" collapsed="false">
      <c r="A38" s="3" t="s">
        <v>63</v>
      </c>
      <c r="B38" s="20" t="n">
        <f aca="false">G29*1000/(SQRT(3)*B5*AVERAGE(K29:M29))</f>
        <v>0.824727811713215</v>
      </c>
    </row>
    <row r="39" customFormat="false" ht="15" hidden="false" customHeight="false" outlineLevel="0" collapsed="false">
      <c r="A39" s="3" t="s">
        <v>64</v>
      </c>
      <c r="B39" s="19" t="n">
        <f aca="false">SQRT(3)*B5*AVERAGE(K29:M29)/1000</f>
        <v>64.6516332330759</v>
      </c>
    </row>
    <row r="40" customFormat="false" ht="15" hidden="false" customHeight="false" outlineLevel="0" collapsed="false">
      <c r="A40" s="3" t="s">
        <v>65</v>
      </c>
      <c r="B40" s="18" t="str">
        <f aca="false">IF(B36&lt;=B6,"UYGUN","UYGUN DEĞİL")</f>
        <v>UYGUN</v>
      </c>
    </row>
    <row r="41" customFormat="false" ht="15" hidden="false" customHeight="false" outlineLevel="0" collapsed="false">
      <c r="A41" s="3" t="s">
        <v>66</v>
      </c>
      <c r="B41" s="19" t="n">
        <f aca="false">B39/250*100</f>
        <v>25.8606532932303</v>
      </c>
    </row>
  </sheetData>
  <mergeCells count="3">
    <mergeCell ref="H8:J8"/>
    <mergeCell ref="K8:M8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1</v>
      </c>
      <c r="W2" s="21" t="s">
        <v>68</v>
      </c>
    </row>
    <row r="3" customFormat="false" ht="15" hidden="false" customHeight="false" outlineLevel="0" collapsed="false">
      <c r="A3" s="3" t="s">
        <v>69</v>
      </c>
      <c r="B3" s="3"/>
      <c r="C3" s="3"/>
      <c r="D3" s="4" t="n">
        <v>44</v>
      </c>
      <c r="W3" s="6" t="s">
        <v>70</v>
      </c>
      <c r="X3" s="6" t="s">
        <v>71</v>
      </c>
      <c r="Y3" s="6" t="s">
        <v>72</v>
      </c>
      <c r="Z3" s="6" t="s">
        <v>73</v>
      </c>
    </row>
    <row r="4" customFormat="false" ht="15" hidden="false" customHeight="false" outlineLevel="0" collapsed="false">
      <c r="A4" s="3" t="s">
        <v>74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75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76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77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78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79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80</v>
      </c>
      <c r="B14" s="7" t="s">
        <v>81</v>
      </c>
      <c r="C14" s="7" t="s">
        <v>10</v>
      </c>
      <c r="D14" s="7" t="s">
        <v>82</v>
      </c>
      <c r="E14" s="7" t="s">
        <v>83</v>
      </c>
      <c r="F14" s="7" t="s">
        <v>84</v>
      </c>
      <c r="G14" s="7" t="s">
        <v>13</v>
      </c>
      <c r="H14" s="7" t="s">
        <v>85</v>
      </c>
      <c r="I14" s="7" t="s">
        <v>86</v>
      </c>
      <c r="J14" s="7" t="s">
        <v>70</v>
      </c>
      <c r="K14" s="7" t="s">
        <v>87</v>
      </c>
      <c r="L14" s="7" t="s">
        <v>88</v>
      </c>
      <c r="M14" s="7" t="s">
        <v>89</v>
      </c>
      <c r="N14" s="7" t="s">
        <v>90</v>
      </c>
      <c r="O14" s="7" t="s">
        <v>91</v>
      </c>
      <c r="P14" s="7" t="s">
        <v>92</v>
      </c>
      <c r="Q14" s="7" t="s">
        <v>93</v>
      </c>
      <c r="R14" s="7" t="s">
        <v>94</v>
      </c>
      <c r="S14" s="7" t="s">
        <v>95</v>
      </c>
      <c r="T14" s="7" t="s">
        <v>96</v>
      </c>
      <c r="U14" s="7" t="s">
        <v>97</v>
      </c>
      <c r="V14" s="7" t="s">
        <v>98</v>
      </c>
      <c r="W14" s="12" t="n">
        <v>95</v>
      </c>
      <c r="X14" s="4" t="n">
        <v>232</v>
      </c>
      <c r="Y14" s="4" t="n">
        <v>207</v>
      </c>
      <c r="Z14" s="4" t="n">
        <v>216</v>
      </c>
    </row>
    <row r="15" customFormat="false" ht="15" hidden="false" customHeight="false" outlineLevel="0" collapsed="false">
      <c r="A15" s="3" t="s">
        <v>99</v>
      </c>
      <c r="B15" s="3" t="s">
        <v>100</v>
      </c>
      <c r="C15" s="8" t="s">
        <v>101</v>
      </c>
      <c r="D15" s="8" t="s">
        <v>102</v>
      </c>
      <c r="E15" s="11" t="n">
        <f aca="false">'Yük Dengesi'!B33</f>
        <v>53.32</v>
      </c>
      <c r="F15" s="22" t="s">
        <v>21</v>
      </c>
      <c r="G15" s="23" t="n">
        <f aca="false">'Yük Dengesi'!B38</f>
        <v>0.824727811713215</v>
      </c>
      <c r="H15" s="12" t="n">
        <f aca="false">'Yük Dengesi'!B36</f>
        <v>95.0591151792525</v>
      </c>
      <c r="I15" s="8" t="s">
        <v>103</v>
      </c>
      <c r="J15" s="24" t="n">
        <v>95</v>
      </c>
      <c r="K15" s="24" t="n">
        <v>30</v>
      </c>
      <c r="L15" s="22" t="s">
        <v>73</v>
      </c>
      <c r="M15" s="8" t="s">
        <v>104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IF(F15="3F",SQRT(3),2)*H15*K15*(G15/($D$3*J15)+($D$4/1000)*SQRT(1-G15^2))</f>
        <v>1.19803420707267</v>
      </c>
      <c r="R15" s="11" t="n">
        <f aca="false">Q15/IF(F15="3F",$D$5,$D$6)*100</f>
        <v>0.299508551768168</v>
      </c>
      <c r="S15" s="11" t="n">
        <v>0</v>
      </c>
      <c r="T15" s="11" t="n">
        <f aca="false">R15+S15</f>
        <v>0.299508551768168</v>
      </c>
      <c r="U15" s="11" t="n">
        <f aca="false">$D$11</f>
        <v>1</v>
      </c>
      <c r="V15" s="25" t="str">
        <f aca="false">IF(AND(H15&lt;=N15,N15&lt;=P15,T15&lt;=U15),"UYGUN","UYGUN DEĞİL")</f>
        <v>UYGUN</v>
      </c>
    </row>
    <row r="16" customFormat="false" ht="15" hidden="false" customHeight="false" outlineLevel="0" collapsed="false">
      <c r="A16" s="3" t="s">
        <v>105</v>
      </c>
      <c r="B16" s="3" t="s">
        <v>19</v>
      </c>
      <c r="C16" s="8" t="s">
        <v>20</v>
      </c>
      <c r="D16" s="22" t="s">
        <v>106</v>
      </c>
      <c r="E16" s="9" t="n">
        <v>7</v>
      </c>
      <c r="F16" s="10" t="s">
        <v>21</v>
      </c>
      <c r="G16" s="9" t="n">
        <v>0.8</v>
      </c>
      <c r="H16" s="11" t="n">
        <f aca="false">IF(F16="3F",E16*1000/(SQRT(3)*$D$5*G16),E16*1000/($D$6*G16))</f>
        <v>12.6295371385231</v>
      </c>
      <c r="I16" s="8" t="s">
        <v>107</v>
      </c>
      <c r="J16" s="24" t="n">
        <v>4</v>
      </c>
      <c r="K16" s="24" t="n">
        <v>25</v>
      </c>
      <c r="L16" s="10" t="s">
        <v>72</v>
      </c>
      <c r="M16" s="8" t="s">
        <v>108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IF(F16="3F",SQRT(3),2)*H16*K16*(G16/($D$3*J16)+($D$4/1000)*SQRT(1-G16^2))</f>
        <v>2.51204545454545</v>
      </c>
      <c r="R16" s="11" t="n">
        <f aca="false">Q16/IF(F16="3F",$D$5,$D$6)*100</f>
        <v>0.628011363636364</v>
      </c>
      <c r="S16" s="11" t="n">
        <f aca="false">$R$15</f>
        <v>0.299508551768168</v>
      </c>
      <c r="T16" s="11" t="n">
        <f aca="false">R16+S16</f>
        <v>0.927519915404532</v>
      </c>
      <c r="U16" s="11" t="n">
        <f aca="false">IF(D16="aydınlatma",$D$10,$D$9)</f>
        <v>3</v>
      </c>
      <c r="V16" s="25" t="str">
        <f aca="false">IF(AND(H16&lt;=N16,N16&lt;=P16,T16&lt;=U16),"UYGUN","UYGUN DEĞİL")</f>
        <v>UYGUN</v>
      </c>
    </row>
    <row r="17" customFormat="false" ht="15" hidden="false" customHeight="false" outlineLevel="0" collapsed="false">
      <c r="A17" s="3" t="s">
        <v>109</v>
      </c>
      <c r="B17" s="3" t="s">
        <v>22</v>
      </c>
      <c r="C17" s="8" t="s">
        <v>23</v>
      </c>
      <c r="D17" s="22" t="s">
        <v>106</v>
      </c>
      <c r="E17" s="9" t="n">
        <v>7</v>
      </c>
      <c r="F17" s="10" t="s">
        <v>21</v>
      </c>
      <c r="G17" s="9" t="n">
        <v>0.8</v>
      </c>
      <c r="H17" s="11" t="n">
        <f aca="false">IF(F17="3F",E17*1000/(SQRT(3)*$D$5*G17),E17*1000/($D$6*G17))</f>
        <v>12.6295371385231</v>
      </c>
      <c r="I17" s="8" t="s">
        <v>107</v>
      </c>
      <c r="J17" s="24" t="n">
        <v>4</v>
      </c>
      <c r="K17" s="24" t="n">
        <v>25</v>
      </c>
      <c r="L17" s="10" t="s">
        <v>72</v>
      </c>
      <c r="M17" s="8" t="s">
        <v>108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IF(F17="3F",SQRT(3),2)*H17*K17*(G17/($D$3*J17)+($D$4/1000)*SQRT(1-G17^2))</f>
        <v>2.51204545454545</v>
      </c>
      <c r="R17" s="11" t="n">
        <f aca="false">Q17/IF(F17="3F",$D$5,$D$6)*100</f>
        <v>0.628011363636364</v>
      </c>
      <c r="S17" s="11" t="n">
        <f aca="false">$R$15</f>
        <v>0.299508551768168</v>
      </c>
      <c r="T17" s="11" t="n">
        <f aca="false">R17+S17</f>
        <v>0.927519915404532</v>
      </c>
      <c r="U17" s="11" t="n">
        <f aca="false">IF(D17="aydınlatma",$D$10,$D$9)</f>
        <v>3</v>
      </c>
      <c r="V17" s="25" t="str">
        <f aca="false">IF(AND(H17&lt;=N17,N17&lt;=P17,T17&lt;=U17),"UYGUN","UYGUN DEĞİL")</f>
        <v>UYGUN</v>
      </c>
    </row>
    <row r="18" customFormat="false" ht="15" hidden="false" customHeight="false" outlineLevel="0" collapsed="false">
      <c r="A18" s="3" t="s">
        <v>110</v>
      </c>
      <c r="B18" s="3" t="s">
        <v>24</v>
      </c>
      <c r="C18" s="8" t="s">
        <v>25</v>
      </c>
      <c r="D18" s="22" t="s">
        <v>106</v>
      </c>
      <c r="E18" s="9" t="n">
        <v>7</v>
      </c>
      <c r="F18" s="10" t="s">
        <v>21</v>
      </c>
      <c r="G18" s="9" t="n">
        <v>0.8</v>
      </c>
      <c r="H18" s="11" t="n">
        <f aca="false">IF(F18="3F",E18*1000/(SQRT(3)*$D$5*G18),E18*1000/($D$6*G18))</f>
        <v>12.6295371385231</v>
      </c>
      <c r="I18" s="8" t="s">
        <v>107</v>
      </c>
      <c r="J18" s="24" t="n">
        <v>4</v>
      </c>
      <c r="K18" s="24" t="n">
        <v>25</v>
      </c>
      <c r="L18" s="10" t="s">
        <v>72</v>
      </c>
      <c r="M18" s="8" t="s">
        <v>108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IF(F18="3F",SQRT(3),2)*H18*K18*(G18/($D$3*J18)+($D$4/1000)*SQRT(1-G18^2))</f>
        <v>2.51204545454545</v>
      </c>
      <c r="R18" s="11" t="n">
        <f aca="false">Q18/IF(F18="3F",$D$5,$D$6)*100</f>
        <v>0.628011363636364</v>
      </c>
      <c r="S18" s="11" t="n">
        <f aca="false">$R$15</f>
        <v>0.299508551768168</v>
      </c>
      <c r="T18" s="11" t="n">
        <f aca="false">R18+S18</f>
        <v>0.927519915404532</v>
      </c>
      <c r="U18" s="11" t="n">
        <f aca="false">IF(D18="aydınlatma",$D$10,$D$9)</f>
        <v>3</v>
      </c>
      <c r="V18" s="25" t="str">
        <f aca="false">IF(AND(H18&lt;=N18,N18&lt;=P18,T18&lt;=U18),"UYGUN","UYGUN DEĞİL")</f>
        <v>UYGUN</v>
      </c>
    </row>
    <row r="19" customFormat="false" ht="15" hidden="false" customHeight="false" outlineLevel="0" collapsed="false">
      <c r="A19" s="3" t="s">
        <v>111</v>
      </c>
      <c r="B19" s="3" t="s">
        <v>26</v>
      </c>
      <c r="C19" s="8" t="s">
        <v>27</v>
      </c>
      <c r="D19" s="22" t="s">
        <v>106</v>
      </c>
      <c r="E19" s="9" t="n">
        <v>7</v>
      </c>
      <c r="F19" s="10" t="s">
        <v>21</v>
      </c>
      <c r="G19" s="9" t="n">
        <v>0.8</v>
      </c>
      <c r="H19" s="11" t="n">
        <f aca="false">IF(F19="3F",E19*1000/(SQRT(3)*$D$5*G19),E19*1000/($D$6*G19))</f>
        <v>12.6295371385231</v>
      </c>
      <c r="I19" s="8" t="s">
        <v>107</v>
      </c>
      <c r="J19" s="24" t="n">
        <v>4</v>
      </c>
      <c r="K19" s="24" t="n">
        <v>25</v>
      </c>
      <c r="L19" s="10" t="s">
        <v>72</v>
      </c>
      <c r="M19" s="8" t="s">
        <v>108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IF(F19="3F",SQRT(3),2)*H19*K19*(G19/($D$3*J19)+($D$4/1000)*SQRT(1-G19^2))</f>
        <v>2.51204545454545</v>
      </c>
      <c r="R19" s="11" t="n">
        <f aca="false">Q19/IF(F19="3F",$D$5,$D$6)*100</f>
        <v>0.628011363636364</v>
      </c>
      <c r="S19" s="11" t="n">
        <f aca="false">$R$15</f>
        <v>0.299508551768168</v>
      </c>
      <c r="T19" s="11" t="n">
        <f aca="false">R19+S19</f>
        <v>0.927519915404532</v>
      </c>
      <c r="U19" s="11" t="n">
        <f aca="false">IF(D19="aydınlatma",$D$10,$D$9)</f>
        <v>3</v>
      </c>
      <c r="V19" s="25" t="str">
        <f aca="false">IF(AND(H19&lt;=N19,N19&lt;=P19,T19&lt;=U19),"UYGUN","UYGUN DEĞİL")</f>
        <v>UYGUN</v>
      </c>
    </row>
    <row r="20" customFormat="false" ht="15" hidden="false" customHeight="false" outlineLevel="0" collapsed="false">
      <c r="A20" s="3" t="s">
        <v>112</v>
      </c>
      <c r="B20" s="3" t="s">
        <v>28</v>
      </c>
      <c r="C20" s="8" t="s">
        <v>29</v>
      </c>
      <c r="D20" s="22" t="s">
        <v>106</v>
      </c>
      <c r="E20" s="9" t="n">
        <v>7</v>
      </c>
      <c r="F20" s="10" t="s">
        <v>21</v>
      </c>
      <c r="G20" s="9" t="n">
        <v>0.8</v>
      </c>
      <c r="H20" s="11" t="n">
        <f aca="false">IF(F20="3F",E20*1000/(SQRT(3)*$D$5*G20),E20*1000/($D$6*G20))</f>
        <v>12.6295371385231</v>
      </c>
      <c r="I20" s="8" t="s">
        <v>107</v>
      </c>
      <c r="J20" s="24" t="n">
        <v>4</v>
      </c>
      <c r="K20" s="24" t="n">
        <v>25</v>
      </c>
      <c r="L20" s="10" t="s">
        <v>72</v>
      </c>
      <c r="M20" s="8" t="s">
        <v>108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IF(F20="3F",SQRT(3),2)*H20*K20*(G20/($D$3*J20)+($D$4/1000)*SQRT(1-G20^2))</f>
        <v>2.51204545454545</v>
      </c>
      <c r="R20" s="11" t="n">
        <f aca="false">Q20/IF(F20="3F",$D$5,$D$6)*100</f>
        <v>0.628011363636364</v>
      </c>
      <c r="S20" s="11" t="n">
        <f aca="false">$R$15</f>
        <v>0.299508551768168</v>
      </c>
      <c r="T20" s="11" t="n">
        <f aca="false">R20+S20</f>
        <v>0.927519915404532</v>
      </c>
      <c r="U20" s="11" t="n">
        <f aca="false">IF(D20="aydınlatma",$D$10,$D$9)</f>
        <v>3</v>
      </c>
      <c r="V20" s="25" t="str">
        <f aca="false">IF(AND(H20&lt;=N20,N20&lt;=P20,T20&lt;=U20),"UYGUN","UYGUN DEĞİL")</f>
        <v>UYGUN</v>
      </c>
    </row>
    <row r="21" customFormat="false" ht="15" hidden="false" customHeight="false" outlineLevel="0" collapsed="false">
      <c r="A21" s="3" t="s">
        <v>113</v>
      </c>
      <c r="B21" s="3" t="s">
        <v>30</v>
      </c>
      <c r="C21" s="8" t="s">
        <v>31</v>
      </c>
      <c r="D21" s="22" t="s">
        <v>106</v>
      </c>
      <c r="E21" s="9" t="n">
        <v>7</v>
      </c>
      <c r="F21" s="10" t="s">
        <v>21</v>
      </c>
      <c r="G21" s="9" t="n">
        <v>0.8</v>
      </c>
      <c r="H21" s="11" t="n">
        <f aca="false">IF(F21="3F",E21*1000/(SQRT(3)*$D$5*G21),E21*1000/($D$6*G21))</f>
        <v>12.6295371385231</v>
      </c>
      <c r="I21" s="8" t="s">
        <v>107</v>
      </c>
      <c r="J21" s="24" t="n">
        <v>4</v>
      </c>
      <c r="K21" s="24" t="n">
        <v>25</v>
      </c>
      <c r="L21" s="10" t="s">
        <v>72</v>
      </c>
      <c r="M21" s="8" t="s">
        <v>108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IF(F21="3F",SQRT(3),2)*H21*K21*(G21/($D$3*J21)+($D$4/1000)*SQRT(1-G21^2))</f>
        <v>2.51204545454545</v>
      </c>
      <c r="R21" s="11" t="n">
        <f aca="false">Q21/IF(F21="3F",$D$5,$D$6)*100</f>
        <v>0.628011363636364</v>
      </c>
      <c r="S21" s="11" t="n">
        <f aca="false">$R$15</f>
        <v>0.299508551768168</v>
      </c>
      <c r="T21" s="11" t="n">
        <f aca="false">R21+S21</f>
        <v>0.927519915404532</v>
      </c>
      <c r="U21" s="11" t="n">
        <f aca="false">IF(D21="aydınlatma",$D$10,$D$9)</f>
        <v>3</v>
      </c>
      <c r="V21" s="25" t="str">
        <f aca="false">IF(AND(H21&lt;=N21,N21&lt;=P21,T21&lt;=U21),"UYGUN","UYGUN DEĞİL")</f>
        <v>UYGUN</v>
      </c>
    </row>
    <row r="22" customFormat="false" ht="15" hidden="false" customHeight="false" outlineLevel="0" collapsed="false">
      <c r="A22" s="3" t="s">
        <v>114</v>
      </c>
      <c r="B22" s="3" t="s">
        <v>32</v>
      </c>
      <c r="C22" s="8" t="s">
        <v>33</v>
      </c>
      <c r="D22" s="22" t="s">
        <v>115</v>
      </c>
      <c r="E22" s="9" t="n">
        <v>2</v>
      </c>
      <c r="F22" s="10" t="s">
        <v>116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117</v>
      </c>
      <c r="J22" s="24" t="n">
        <v>2.5</v>
      </c>
      <c r="K22" s="24" t="n">
        <v>22</v>
      </c>
      <c r="L22" s="10" t="s">
        <v>71</v>
      </c>
      <c r="M22" s="8" t="s">
        <v>118</v>
      </c>
      <c r="N22" s="4" t="n">
        <v>16</v>
      </c>
      <c r="O22" s="8" t="n">
        <f aca="false">INDEX($X$4:$Z$14,MATCH(J22,$W$4:$W$14,0),MATCH(L22,$X$3:$Z$3,0))</f>
        <v>24</v>
      </c>
      <c r="P22" s="12" t="n">
        <f aca="false">O22*IF(L22="D2-3",$D$8,$D$7)</f>
        <v>19.2</v>
      </c>
      <c r="Q22" s="11" t="n">
        <f aca="false">IF(F22="3F",SQRT(3),2)*H22*K22*(G22/($D$3*J22)+($D$4/1000)*SQRT(1-G22^2))</f>
        <v>3.48832146130634</v>
      </c>
      <c r="R22" s="11" t="n">
        <f aca="false">Q22/IF(F22="3F",$D$5,$D$6)*100</f>
        <v>1.5166615049158</v>
      </c>
      <c r="S22" s="11" t="n">
        <f aca="false">$R$15</f>
        <v>0.299508551768168</v>
      </c>
      <c r="T22" s="11" t="n">
        <f aca="false">R22+S22</f>
        <v>1.81617005668397</v>
      </c>
      <c r="U22" s="11" t="n">
        <f aca="false">IF(D22="aydınlatma",$D$10,$D$9)</f>
        <v>2</v>
      </c>
      <c r="V22" s="25" t="str">
        <f aca="false">IF(AND(H22&lt;=N22,N22&lt;=P22,T22&lt;=U22),"UYGUN","UYGUN DEĞİL")</f>
        <v>UYGUN</v>
      </c>
    </row>
    <row r="23" customFormat="false" ht="15" hidden="false" customHeight="false" outlineLevel="0" collapsed="false">
      <c r="A23" s="3" t="s">
        <v>119</v>
      </c>
      <c r="B23" s="3" t="s">
        <v>34</v>
      </c>
      <c r="C23" s="8" t="s">
        <v>35</v>
      </c>
      <c r="D23" s="22" t="s">
        <v>115</v>
      </c>
      <c r="E23" s="9" t="n">
        <v>2</v>
      </c>
      <c r="F23" s="10" t="s">
        <v>116</v>
      </c>
      <c r="G23" s="9" t="n">
        <v>0.95</v>
      </c>
      <c r="H23" s="11" t="n">
        <f aca="false">IF(F23="3F",E23*1000/(SQRT(3)*$D$5*G23),E23*1000/($D$6*G23))</f>
        <v>9.1533180778032</v>
      </c>
      <c r="I23" s="8" t="s">
        <v>117</v>
      </c>
      <c r="J23" s="24" t="n">
        <v>2.5</v>
      </c>
      <c r="K23" s="24" t="n">
        <v>22</v>
      </c>
      <c r="L23" s="10" t="s">
        <v>71</v>
      </c>
      <c r="M23" s="8" t="s">
        <v>118</v>
      </c>
      <c r="N23" s="4" t="n">
        <v>16</v>
      </c>
      <c r="O23" s="8" t="n">
        <f aca="false">INDEX($X$4:$Z$14,MATCH(J23,$W$4:$W$14,0),MATCH(L23,$X$3:$Z$3,0))</f>
        <v>24</v>
      </c>
      <c r="P23" s="12" t="n">
        <f aca="false">O23*IF(L23="D2-3",$D$8,$D$7)</f>
        <v>19.2</v>
      </c>
      <c r="Q23" s="11" t="n">
        <f aca="false">IF(F23="3F",SQRT(3),2)*H23*K23*(G23/($D$3*J23)+($D$4/1000)*SQRT(1-G23^2))</f>
        <v>3.48832146130634</v>
      </c>
      <c r="R23" s="11" t="n">
        <f aca="false">Q23/IF(F23="3F",$D$5,$D$6)*100</f>
        <v>1.5166615049158</v>
      </c>
      <c r="S23" s="11" t="n">
        <f aca="false">$R$15</f>
        <v>0.299508551768168</v>
      </c>
      <c r="T23" s="11" t="n">
        <f aca="false">R23+S23</f>
        <v>1.81617005668397</v>
      </c>
      <c r="U23" s="11" t="n">
        <f aca="false">IF(D23="aydınlatma",$D$10,$D$9)</f>
        <v>2</v>
      </c>
      <c r="V23" s="25" t="str">
        <f aca="false">IF(AND(H23&lt;=N23,N23&lt;=P23,T23&lt;=U23),"UYGUN","UYGUN DEĞİL")</f>
        <v>UYGUN</v>
      </c>
    </row>
    <row r="24" customFormat="false" ht="15" hidden="false" customHeight="false" outlineLevel="0" collapsed="false">
      <c r="A24" s="3" t="s">
        <v>120</v>
      </c>
      <c r="B24" s="3" t="s">
        <v>36</v>
      </c>
      <c r="C24" s="8" t="s">
        <v>37</v>
      </c>
      <c r="D24" s="22" t="s">
        <v>115</v>
      </c>
      <c r="E24" s="9" t="n">
        <v>2</v>
      </c>
      <c r="F24" s="10" t="s">
        <v>116</v>
      </c>
      <c r="G24" s="9" t="n">
        <v>0.95</v>
      </c>
      <c r="H24" s="11" t="n">
        <f aca="false">IF(F24="3F",E24*1000/(SQRT(3)*$D$5*G24),E24*1000/($D$6*G24))</f>
        <v>9.1533180778032</v>
      </c>
      <c r="I24" s="8" t="s">
        <v>117</v>
      </c>
      <c r="J24" s="24" t="n">
        <v>2.5</v>
      </c>
      <c r="K24" s="24" t="n">
        <v>22</v>
      </c>
      <c r="L24" s="10" t="s">
        <v>71</v>
      </c>
      <c r="M24" s="8" t="s">
        <v>118</v>
      </c>
      <c r="N24" s="4" t="n">
        <v>16</v>
      </c>
      <c r="O24" s="8" t="n">
        <f aca="false">INDEX($X$4:$Z$14,MATCH(J24,$W$4:$W$14,0),MATCH(L24,$X$3:$Z$3,0))</f>
        <v>24</v>
      </c>
      <c r="P24" s="12" t="n">
        <f aca="false">O24*IF(L24="D2-3",$D$8,$D$7)</f>
        <v>19.2</v>
      </c>
      <c r="Q24" s="11" t="n">
        <f aca="false">IF(F24="3F",SQRT(3),2)*H24*K24*(G24/($D$3*J24)+($D$4/1000)*SQRT(1-G24^2))</f>
        <v>3.48832146130634</v>
      </c>
      <c r="R24" s="11" t="n">
        <f aca="false">Q24/IF(F24="3F",$D$5,$D$6)*100</f>
        <v>1.5166615049158</v>
      </c>
      <c r="S24" s="11" t="n">
        <f aca="false">$R$15</f>
        <v>0.299508551768168</v>
      </c>
      <c r="T24" s="11" t="n">
        <f aca="false">R24+S24</f>
        <v>1.81617005668397</v>
      </c>
      <c r="U24" s="11" t="n">
        <f aca="false">IF(D24="aydınlatma",$D$10,$D$9)</f>
        <v>2</v>
      </c>
      <c r="V24" s="25" t="str">
        <f aca="false">IF(AND(H24&lt;=N24,N24&lt;=P24,T24&lt;=U24),"UYGUN","UYGUN DEĞİL")</f>
        <v>UYGUN</v>
      </c>
    </row>
    <row r="25" customFormat="false" ht="15" hidden="false" customHeight="false" outlineLevel="0" collapsed="false">
      <c r="A25" s="3" t="s">
        <v>121</v>
      </c>
      <c r="B25" s="3" t="s">
        <v>38</v>
      </c>
      <c r="C25" s="8" t="s">
        <v>39</v>
      </c>
      <c r="D25" s="22" t="s">
        <v>106</v>
      </c>
      <c r="E25" s="9" t="n">
        <v>2</v>
      </c>
      <c r="F25" s="10" t="s">
        <v>116</v>
      </c>
      <c r="G25" s="9" t="n">
        <v>0.9</v>
      </c>
      <c r="H25" s="11" t="n">
        <f aca="false">IF(F25="3F",E25*1000/(SQRT(3)*$D$5*G25),E25*1000/($D$6*G25))</f>
        <v>9.66183574879227</v>
      </c>
      <c r="I25" s="8" t="s">
        <v>117</v>
      </c>
      <c r="J25" s="24" t="n">
        <v>2.5</v>
      </c>
      <c r="K25" s="24" t="n">
        <v>30</v>
      </c>
      <c r="L25" s="10" t="s">
        <v>71</v>
      </c>
      <c r="M25" s="8" t="s">
        <v>118</v>
      </c>
      <c r="N25" s="4" t="n">
        <v>16</v>
      </c>
      <c r="O25" s="8" t="n">
        <f aca="false">INDEX($X$4:$Z$14,MATCH(J25,$W$4:$W$14,0),MATCH(L25,$X$3:$Z$3,0))</f>
        <v>24</v>
      </c>
      <c r="P25" s="12" t="n">
        <f aca="false">O25*IF(L25="D2-3",$D$8,$D$7)</f>
        <v>19.2</v>
      </c>
      <c r="Q25" s="11" t="n">
        <f aca="false">IF(F25="3F",SQRT(3),2)*H25*K25*(G25/($D$3*J25)+($D$4/1000)*SQRT(1-G25^2))</f>
        <v>4.76329818745885</v>
      </c>
      <c r="R25" s="11" t="n">
        <f aca="false">Q25/IF(F25="3F",$D$5,$D$6)*100</f>
        <v>2.07099921193863</v>
      </c>
      <c r="S25" s="11" t="n">
        <f aca="false">$R$15</f>
        <v>0.299508551768168</v>
      </c>
      <c r="T25" s="11" t="n">
        <f aca="false">R25+S25</f>
        <v>2.3705077637068</v>
      </c>
      <c r="U25" s="11" t="n">
        <f aca="false">IF(D25="aydınlatma",$D$10,$D$9)</f>
        <v>3</v>
      </c>
      <c r="V25" s="25" t="str">
        <f aca="false">IF(AND(H25&lt;=N25,N25&lt;=P25,T25&lt;=U25),"UYGUN","UYGUN DEĞİL")</f>
        <v>UYGUN</v>
      </c>
    </row>
    <row r="26" customFormat="false" ht="15" hidden="false" customHeight="false" outlineLevel="0" collapsed="false">
      <c r="A26" s="3" t="s">
        <v>122</v>
      </c>
      <c r="B26" s="3" t="s">
        <v>40</v>
      </c>
      <c r="C26" s="8" t="s">
        <v>41</v>
      </c>
      <c r="D26" s="22" t="s">
        <v>106</v>
      </c>
      <c r="E26" s="9" t="n">
        <v>2</v>
      </c>
      <c r="F26" s="10" t="s">
        <v>116</v>
      </c>
      <c r="G26" s="9" t="n">
        <v>0.9</v>
      </c>
      <c r="H26" s="11" t="n">
        <f aca="false">IF(F26="3F",E26*1000/(SQRT(3)*$D$5*G26),E26*1000/($D$6*G26))</f>
        <v>9.66183574879227</v>
      </c>
      <c r="I26" s="8" t="s">
        <v>117</v>
      </c>
      <c r="J26" s="24" t="n">
        <v>2.5</v>
      </c>
      <c r="K26" s="24" t="n">
        <v>30</v>
      </c>
      <c r="L26" s="10" t="s">
        <v>71</v>
      </c>
      <c r="M26" s="8" t="s">
        <v>118</v>
      </c>
      <c r="N26" s="4" t="n">
        <v>16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IF(F26="3F",SQRT(3),2)*H26*K26*(G26/($D$3*J26)+($D$4/1000)*SQRT(1-G26^2))</f>
        <v>4.76329818745885</v>
      </c>
      <c r="R26" s="11" t="n">
        <f aca="false">Q26/IF(F26="3F",$D$5,$D$6)*100</f>
        <v>2.07099921193863</v>
      </c>
      <c r="S26" s="11" t="n">
        <f aca="false">$R$15</f>
        <v>0.299508551768168</v>
      </c>
      <c r="T26" s="11" t="n">
        <f aca="false">R26+S26</f>
        <v>2.3705077637068</v>
      </c>
      <c r="U26" s="11" t="n">
        <f aca="false">IF(D26="aydınlatma",$D$10,$D$9)</f>
        <v>3</v>
      </c>
      <c r="V26" s="25" t="str">
        <f aca="false">IF(AND(H26&lt;=N26,N26&lt;=P26,T26&lt;=U26),"UYGUN","UYGUN DEĞİL")</f>
        <v>UYGUN</v>
      </c>
    </row>
    <row r="27" customFormat="false" ht="15" hidden="false" customHeight="false" outlineLevel="0" collapsed="false">
      <c r="A27" s="3" t="s">
        <v>123</v>
      </c>
      <c r="B27" s="3" t="s">
        <v>42</v>
      </c>
      <c r="C27" s="8" t="s">
        <v>43</v>
      </c>
      <c r="D27" s="22" t="s">
        <v>106</v>
      </c>
      <c r="E27" s="9" t="n">
        <v>2</v>
      </c>
      <c r="F27" s="10" t="s">
        <v>116</v>
      </c>
      <c r="G27" s="9" t="n">
        <v>0.9</v>
      </c>
      <c r="H27" s="11" t="n">
        <f aca="false">IF(F27="3F",E27*1000/(SQRT(3)*$D$5*G27),E27*1000/($D$6*G27))</f>
        <v>9.66183574879227</v>
      </c>
      <c r="I27" s="8" t="s">
        <v>117</v>
      </c>
      <c r="J27" s="24" t="n">
        <v>2.5</v>
      </c>
      <c r="K27" s="24" t="n">
        <v>30</v>
      </c>
      <c r="L27" s="10" t="s">
        <v>71</v>
      </c>
      <c r="M27" s="8" t="s">
        <v>118</v>
      </c>
      <c r="N27" s="4" t="n">
        <v>16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IF(F27="3F",SQRT(3),2)*H27*K27*(G27/($D$3*J27)+($D$4/1000)*SQRT(1-G27^2))</f>
        <v>4.76329818745885</v>
      </c>
      <c r="R27" s="11" t="n">
        <f aca="false">Q27/IF(F27="3F",$D$5,$D$6)*100</f>
        <v>2.07099921193863</v>
      </c>
      <c r="S27" s="11" t="n">
        <f aca="false">$R$15</f>
        <v>0.299508551768168</v>
      </c>
      <c r="T27" s="11" t="n">
        <f aca="false">R27+S27</f>
        <v>2.3705077637068</v>
      </c>
      <c r="U27" s="11" t="n">
        <f aca="false">IF(D27="aydınlatma",$D$10,$D$9)</f>
        <v>3</v>
      </c>
      <c r="V27" s="25" t="str">
        <f aca="false">IF(AND(H27&lt;=N27,N27&lt;=P27,T27&lt;=U27),"UYGUN","UYGUN DEĞİL")</f>
        <v>UYGUN</v>
      </c>
    </row>
    <row r="28" customFormat="false" ht="15" hidden="false" customHeight="false" outlineLevel="0" collapsed="false">
      <c r="A28" s="3" t="s">
        <v>124</v>
      </c>
      <c r="B28" s="3" t="s">
        <v>44</v>
      </c>
      <c r="C28" s="8" t="s">
        <v>45</v>
      </c>
      <c r="D28" s="22" t="s">
        <v>106</v>
      </c>
      <c r="E28" s="9" t="n">
        <v>1.4</v>
      </c>
      <c r="F28" s="10" t="s">
        <v>116</v>
      </c>
      <c r="G28" s="9" t="n">
        <v>0.9</v>
      </c>
      <c r="H28" s="11" t="n">
        <f aca="false">IF(F28="3F",E28*1000/(SQRT(3)*$D$5*G28),E28*1000/($D$6*G28))</f>
        <v>6.76328502415459</v>
      </c>
      <c r="I28" s="8" t="s">
        <v>117</v>
      </c>
      <c r="J28" s="24" t="n">
        <v>2.5</v>
      </c>
      <c r="K28" s="24" t="n">
        <v>28</v>
      </c>
      <c r="L28" s="10" t="s">
        <v>71</v>
      </c>
      <c r="M28" s="8" t="s">
        <v>125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IF(F28="3F",SQRT(3),2)*H28*K28*(G28/($D$3*J28)+($D$4/1000)*SQRT(1-G28^2))</f>
        <v>3.11202148247311</v>
      </c>
      <c r="R28" s="11" t="n">
        <f aca="false">Q28/IF(F28="3F",$D$5,$D$6)*100</f>
        <v>1.35305281846657</v>
      </c>
      <c r="S28" s="11" t="n">
        <f aca="false">$R$15</f>
        <v>0.299508551768168</v>
      </c>
      <c r="T28" s="11" t="n">
        <f aca="false">R28+S28</f>
        <v>1.65256137023474</v>
      </c>
      <c r="U28" s="11" t="n">
        <f aca="false">IF(D28="aydınlatma",$D$10,$D$9)</f>
        <v>3</v>
      </c>
      <c r="V28" s="25" t="str">
        <f aca="false">IF(AND(H28&lt;=N28,N28&lt;=P28,T28&lt;=U28),"UYGUN","UYGUN DEĞİL")</f>
        <v>UYGUN</v>
      </c>
    </row>
    <row r="29" customFormat="false" ht="15" hidden="false" customHeight="false" outlineLevel="0" collapsed="false">
      <c r="A29" s="3" t="s">
        <v>126</v>
      </c>
      <c r="B29" s="3" t="s">
        <v>46</v>
      </c>
      <c r="C29" s="8" t="s">
        <v>47</v>
      </c>
      <c r="D29" s="22" t="s">
        <v>106</v>
      </c>
      <c r="E29" s="9" t="n">
        <v>1.8</v>
      </c>
      <c r="F29" s="10" t="s">
        <v>116</v>
      </c>
      <c r="G29" s="9" t="n">
        <v>0.9</v>
      </c>
      <c r="H29" s="11" t="n">
        <f aca="false">IF(F29="3F",E29*1000/(SQRT(3)*$D$5*G29),E29*1000/($D$6*G29))</f>
        <v>8.69565217391304</v>
      </c>
      <c r="I29" s="8" t="s">
        <v>117</v>
      </c>
      <c r="J29" s="24" t="n">
        <v>2.5</v>
      </c>
      <c r="K29" s="24" t="n">
        <v>30</v>
      </c>
      <c r="L29" s="10" t="s">
        <v>71</v>
      </c>
      <c r="M29" s="8" t="s">
        <v>125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IF(F29="3F",SQRT(3),2)*H29*K29*(G29/($D$3*J29)+($D$4/1000)*SQRT(1-G29^2))</f>
        <v>4.28696836871296</v>
      </c>
      <c r="R29" s="11" t="n">
        <f aca="false">Q29/IF(F29="3F",$D$5,$D$6)*100</f>
        <v>1.86389929074477</v>
      </c>
      <c r="S29" s="11" t="n">
        <f aca="false">$R$15</f>
        <v>0.299508551768168</v>
      </c>
      <c r="T29" s="11" t="n">
        <f aca="false">R29+S29</f>
        <v>2.16340784251293</v>
      </c>
      <c r="U29" s="11" t="n">
        <f aca="false">IF(D29="aydınlatma",$D$10,$D$9)</f>
        <v>3</v>
      </c>
      <c r="V29" s="25" t="str">
        <f aca="false">IF(AND(H29&lt;=N29,N29&lt;=P29,T29&lt;=U29),"UYGUN","UYGUN DEĞİL")</f>
        <v>UYGUN</v>
      </c>
    </row>
    <row r="30" customFormat="false" ht="15" hidden="false" customHeight="false" outlineLevel="0" collapsed="false">
      <c r="A30" s="3" t="s">
        <v>127</v>
      </c>
      <c r="B30" s="3" t="s">
        <v>48</v>
      </c>
      <c r="C30" s="8" t="s">
        <v>49</v>
      </c>
      <c r="D30" s="22" t="s">
        <v>115</v>
      </c>
      <c r="E30" s="9" t="n">
        <v>0.5</v>
      </c>
      <c r="F30" s="10" t="s">
        <v>116</v>
      </c>
      <c r="G30" s="9" t="n">
        <v>0.95</v>
      </c>
      <c r="H30" s="11" t="n">
        <f aca="false">IF(F30="3F",E30*1000/(SQRT(3)*$D$5*G30),E30*1000/($D$6*G30))</f>
        <v>2.2883295194508</v>
      </c>
      <c r="I30" s="8" t="s">
        <v>128</v>
      </c>
      <c r="J30" s="24" t="n">
        <v>2.5</v>
      </c>
      <c r="K30" s="24" t="n">
        <v>35</v>
      </c>
      <c r="L30" s="10" t="s">
        <v>71</v>
      </c>
      <c r="M30" s="8" t="s">
        <v>125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IF(F30="3F",SQRT(3),2)*H30*K30*(G30/($D$3*J30)+($D$4/1000)*SQRT(1-G30^2))</f>
        <v>1.38740058120139</v>
      </c>
      <c r="R30" s="11" t="n">
        <f aca="false">Q30/IF(F30="3F",$D$5,$D$6)*100</f>
        <v>0.603217644000603</v>
      </c>
      <c r="S30" s="11" t="n">
        <f aca="false">$R$15</f>
        <v>0.299508551768168</v>
      </c>
      <c r="T30" s="11" t="n">
        <f aca="false">R30+S30</f>
        <v>0.902726195768771</v>
      </c>
      <c r="U30" s="11" t="n">
        <f aca="false">IF(D30="aydınlatma",$D$10,$D$9)</f>
        <v>2</v>
      </c>
      <c r="V30" s="25" t="str">
        <f aca="false">IF(AND(H30&lt;=N30,N30&lt;=P30,T30&lt;=U30),"UYGUN","UYGUN DEĞİL")</f>
        <v>UYGUN</v>
      </c>
    </row>
    <row r="31" customFormat="false" ht="15" hidden="false" customHeight="false" outlineLevel="0" collapsed="false">
      <c r="A31" s="3" t="s">
        <v>129</v>
      </c>
      <c r="B31" s="3" t="s">
        <v>50</v>
      </c>
      <c r="C31" s="8" t="s">
        <v>51</v>
      </c>
      <c r="D31" s="22" t="s">
        <v>106</v>
      </c>
      <c r="E31" s="9" t="n">
        <v>0.3</v>
      </c>
      <c r="F31" s="10" t="s">
        <v>116</v>
      </c>
      <c r="G31" s="9" t="n">
        <v>0.95</v>
      </c>
      <c r="H31" s="11" t="n">
        <f aca="false">IF(F31="3F",E31*1000/(SQRT(3)*$D$5*G31),E31*1000/($D$6*G31))</f>
        <v>1.37299771167048</v>
      </c>
      <c r="I31" s="8" t="s">
        <v>128</v>
      </c>
      <c r="J31" s="24" t="n">
        <v>2.5</v>
      </c>
      <c r="K31" s="24" t="n">
        <v>35</v>
      </c>
      <c r="L31" s="10" t="s">
        <v>71</v>
      </c>
      <c r="M31" s="8" t="s">
        <v>125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IF(F31="3F",SQRT(3),2)*H31*K31*(G31/($D$3*J31)+($D$4/1000)*SQRT(1-G31^2))</f>
        <v>0.832440348720832</v>
      </c>
      <c r="R31" s="11" t="n">
        <f aca="false">Q31/IF(F31="3F",$D$5,$D$6)*100</f>
        <v>0.361930586400362</v>
      </c>
      <c r="S31" s="11" t="n">
        <f aca="false">$R$15</f>
        <v>0.299508551768168</v>
      </c>
      <c r="T31" s="11" t="n">
        <f aca="false">R31+S31</f>
        <v>0.66143913816853</v>
      </c>
      <c r="U31" s="11" t="n">
        <f aca="false">IF(D31="aydınlatma",$D$10,$D$9)</f>
        <v>3</v>
      </c>
      <c r="V31" s="25" t="str">
        <f aca="false">IF(AND(H31&lt;=N31,N31&lt;=P31,T31&lt;=U31),"UYGUN","UYGUN DEĞİL")</f>
        <v>UYGUN</v>
      </c>
    </row>
    <row r="33" customFormat="false" ht="15" hidden="false" customHeight="false" outlineLevel="0" collapsed="false">
      <c r="A33" s="26" t="s">
        <v>130</v>
      </c>
    </row>
    <row r="34" customFormat="false" ht="15" hidden="false" customHeight="false" outlineLevel="0" collapsed="false">
      <c r="A34" s="26" t="s">
        <v>131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9</v>
      </c>
      <c r="B4" s="6" t="s">
        <v>133</v>
      </c>
      <c r="C4" s="6" t="s">
        <v>134</v>
      </c>
      <c r="D4" s="6" t="s">
        <v>135</v>
      </c>
      <c r="E4" s="6" t="s">
        <v>136</v>
      </c>
      <c r="F4" s="6" t="s">
        <v>137</v>
      </c>
    </row>
    <row r="5" customFormat="false" ht="15" hidden="false" customHeight="false" outlineLevel="0" collapsed="false">
      <c r="A5" s="13" t="s">
        <v>138</v>
      </c>
      <c r="B5" s="13"/>
      <c r="C5" s="13"/>
      <c r="D5" s="13"/>
      <c r="E5" s="13"/>
      <c r="F5" s="13"/>
    </row>
    <row r="6" customFormat="false" ht="23.85" hidden="false" customHeight="false" outlineLevel="0" collapsed="false">
      <c r="A6" s="27" t="s">
        <v>139</v>
      </c>
      <c r="B6" s="28" t="s">
        <v>140</v>
      </c>
      <c r="C6" s="22" t="n">
        <v>1</v>
      </c>
      <c r="D6" s="28" t="s">
        <v>141</v>
      </c>
      <c r="E6" s="22" t="s">
        <v>142</v>
      </c>
      <c r="F6" s="22" t="s">
        <v>143</v>
      </c>
    </row>
    <row r="7" customFormat="false" ht="15" hidden="false" customHeight="false" outlineLevel="0" collapsed="false">
      <c r="A7" s="27" t="s">
        <v>100</v>
      </c>
      <c r="B7" s="28" t="s">
        <v>144</v>
      </c>
      <c r="C7" s="22" t="n">
        <v>1</v>
      </c>
      <c r="D7" s="28" t="s">
        <v>145</v>
      </c>
      <c r="E7" s="22" t="s">
        <v>142</v>
      </c>
      <c r="F7" s="22" t="s">
        <v>146</v>
      </c>
    </row>
    <row r="8" customFormat="false" ht="15" hidden="false" customHeight="false" outlineLevel="0" collapsed="false">
      <c r="A8" s="27" t="s">
        <v>147</v>
      </c>
      <c r="B8" s="28" t="s">
        <v>148</v>
      </c>
      <c r="C8" s="22" t="n">
        <v>1</v>
      </c>
      <c r="D8" s="28" t="s">
        <v>149</v>
      </c>
      <c r="E8" s="22" t="s">
        <v>142</v>
      </c>
      <c r="F8" s="22" t="s">
        <v>146</v>
      </c>
    </row>
    <row r="9" customFormat="false" ht="15" hidden="false" customHeight="false" outlineLevel="0" collapsed="false">
      <c r="A9" s="27" t="s">
        <v>150</v>
      </c>
      <c r="B9" s="28" t="s">
        <v>151</v>
      </c>
      <c r="C9" s="22" t="n">
        <v>1</v>
      </c>
      <c r="D9" s="28" t="s">
        <v>152</v>
      </c>
      <c r="E9" s="22" t="s">
        <v>142</v>
      </c>
      <c r="F9" s="22" t="s">
        <v>146</v>
      </c>
    </row>
    <row r="10" customFormat="false" ht="15" hidden="false" customHeight="false" outlineLevel="0" collapsed="false">
      <c r="A10" s="27" t="s">
        <v>153</v>
      </c>
      <c r="B10" s="28" t="s">
        <v>154</v>
      </c>
      <c r="C10" s="22" t="n">
        <v>1</v>
      </c>
      <c r="D10" s="28" t="s">
        <v>155</v>
      </c>
      <c r="E10" s="22" t="s">
        <v>142</v>
      </c>
      <c r="F10" s="22" t="s">
        <v>146</v>
      </c>
    </row>
    <row r="11" customFormat="false" ht="15" hidden="false" customHeight="false" outlineLevel="0" collapsed="false">
      <c r="A11" s="27" t="s">
        <v>156</v>
      </c>
      <c r="B11" s="28" t="s">
        <v>157</v>
      </c>
      <c r="C11" s="22" t="n">
        <v>1</v>
      </c>
      <c r="D11" s="28" t="s">
        <v>158</v>
      </c>
      <c r="E11" s="22" t="s">
        <v>142</v>
      </c>
      <c r="F11" s="22" t="s">
        <v>146</v>
      </c>
    </row>
    <row r="12" customFormat="false" ht="15" hidden="false" customHeight="false" outlineLevel="0" collapsed="false">
      <c r="A12" s="27" t="s">
        <v>159</v>
      </c>
      <c r="B12" s="28" t="s">
        <v>160</v>
      </c>
      <c r="C12" s="22" t="n">
        <v>1</v>
      </c>
      <c r="D12" s="28" t="s">
        <v>161</v>
      </c>
      <c r="E12" s="22" t="s">
        <v>142</v>
      </c>
      <c r="F12" s="22" t="s">
        <v>146</v>
      </c>
    </row>
    <row r="13" customFormat="false" ht="15" hidden="false" customHeight="false" outlineLevel="0" collapsed="false">
      <c r="A13" s="27" t="s">
        <v>162</v>
      </c>
      <c r="B13" s="28" t="s">
        <v>163</v>
      </c>
      <c r="C13" s="22" t="n">
        <v>1</v>
      </c>
      <c r="D13" s="28" t="s">
        <v>164</v>
      </c>
      <c r="E13" s="22" t="s">
        <v>142</v>
      </c>
      <c r="F13" s="22" t="s">
        <v>146</v>
      </c>
    </row>
    <row r="14" customFormat="false" ht="15" hidden="false" customHeight="false" outlineLevel="0" collapsed="false">
      <c r="A14" s="27" t="s">
        <v>165</v>
      </c>
      <c r="B14" s="28" t="s">
        <v>166</v>
      </c>
      <c r="C14" s="22" t="n">
        <v>1</v>
      </c>
      <c r="D14" s="28" t="s">
        <v>167</v>
      </c>
      <c r="E14" s="22" t="s">
        <v>142</v>
      </c>
      <c r="F14" s="22" t="s">
        <v>146</v>
      </c>
    </row>
    <row r="15" customFormat="false" ht="15" hidden="false" customHeight="false" outlineLevel="0" collapsed="false">
      <c r="A15" s="27" t="s">
        <v>168</v>
      </c>
      <c r="B15" s="28" t="s">
        <v>169</v>
      </c>
      <c r="C15" s="22" t="n">
        <v>3</v>
      </c>
      <c r="D15" s="28" t="s">
        <v>170</v>
      </c>
      <c r="E15" s="22" t="s">
        <v>142</v>
      </c>
      <c r="F15" s="22" t="s">
        <v>146</v>
      </c>
    </row>
    <row r="16" customFormat="false" ht="15" hidden="false" customHeight="false" outlineLevel="0" collapsed="false">
      <c r="A16" s="27" t="s">
        <v>171</v>
      </c>
      <c r="B16" s="28" t="s">
        <v>172</v>
      </c>
      <c r="C16" s="22" t="n">
        <v>1</v>
      </c>
      <c r="D16" s="28" t="s">
        <v>173</v>
      </c>
      <c r="E16" s="22" t="s">
        <v>142</v>
      </c>
      <c r="F16" s="22" t="s">
        <v>146</v>
      </c>
    </row>
    <row r="17" customFormat="false" ht="15" hidden="false" customHeight="false" outlineLevel="0" collapsed="false">
      <c r="A17" s="27" t="s">
        <v>174</v>
      </c>
      <c r="B17" s="28" t="s">
        <v>175</v>
      </c>
      <c r="C17" s="22" t="n">
        <v>1</v>
      </c>
      <c r="D17" s="28" t="s">
        <v>176</v>
      </c>
      <c r="E17" s="22" t="s">
        <v>142</v>
      </c>
      <c r="F17" s="22" t="s">
        <v>146</v>
      </c>
    </row>
    <row r="18" customFormat="false" ht="15" hidden="false" customHeight="false" outlineLevel="0" collapsed="false">
      <c r="A18" s="27" t="s">
        <v>177</v>
      </c>
      <c r="B18" s="28" t="s">
        <v>178</v>
      </c>
      <c r="C18" s="22" t="n">
        <v>1</v>
      </c>
      <c r="D18" s="28" t="s">
        <v>176</v>
      </c>
      <c r="E18" s="22" t="s">
        <v>142</v>
      </c>
      <c r="F18" s="22" t="s">
        <v>146</v>
      </c>
    </row>
    <row r="19" customFormat="false" ht="15" hidden="false" customHeight="false" outlineLevel="0" collapsed="false">
      <c r="A19" s="27" t="s">
        <v>179</v>
      </c>
      <c r="B19" s="28" t="s">
        <v>180</v>
      </c>
      <c r="C19" s="22" t="n">
        <v>1</v>
      </c>
      <c r="D19" s="28" t="s">
        <v>181</v>
      </c>
      <c r="E19" s="22" t="s">
        <v>142</v>
      </c>
      <c r="F19" s="22" t="s">
        <v>146</v>
      </c>
    </row>
    <row r="20" customFormat="false" ht="15" hidden="false" customHeight="false" outlineLevel="0" collapsed="false">
      <c r="A20" s="27" t="s">
        <v>182</v>
      </c>
      <c r="B20" s="28" t="s">
        <v>183</v>
      </c>
      <c r="C20" s="22" t="n">
        <v>1</v>
      </c>
      <c r="D20" s="28" t="s">
        <v>184</v>
      </c>
      <c r="E20" s="22" t="s">
        <v>142</v>
      </c>
      <c r="F20" s="22" t="s">
        <v>146</v>
      </c>
    </row>
    <row r="21" customFormat="false" ht="15" hidden="false" customHeight="false" outlineLevel="0" collapsed="false">
      <c r="A21" s="27" t="s">
        <v>185</v>
      </c>
      <c r="B21" s="28" t="s">
        <v>186</v>
      </c>
      <c r="C21" s="22" t="n">
        <v>3</v>
      </c>
      <c r="D21" s="28" t="s">
        <v>187</v>
      </c>
      <c r="E21" s="22" t="s">
        <v>142</v>
      </c>
      <c r="F21" s="22" t="s">
        <v>146</v>
      </c>
    </row>
    <row r="22" customFormat="false" ht="15" hidden="false" customHeight="false" outlineLevel="0" collapsed="false">
      <c r="A22" s="27" t="s">
        <v>188</v>
      </c>
      <c r="B22" s="28" t="s">
        <v>189</v>
      </c>
      <c r="C22" s="22" t="n">
        <v>1</v>
      </c>
      <c r="D22" s="28" t="s">
        <v>190</v>
      </c>
      <c r="E22" s="22" t="s">
        <v>142</v>
      </c>
      <c r="F22" s="22" t="s">
        <v>146</v>
      </c>
    </row>
    <row r="23" customFormat="false" ht="15" hidden="false" customHeight="false" outlineLevel="0" collapsed="false">
      <c r="A23" s="27" t="s">
        <v>191</v>
      </c>
      <c r="B23" s="28" t="s">
        <v>192</v>
      </c>
      <c r="C23" s="22" t="n">
        <v>1</v>
      </c>
      <c r="D23" s="28" t="s">
        <v>193</v>
      </c>
      <c r="E23" s="22" t="s">
        <v>142</v>
      </c>
      <c r="F23" s="22" t="s">
        <v>146</v>
      </c>
    </row>
    <row r="24" customFormat="false" ht="15" hidden="false" customHeight="false" outlineLevel="0" collapsed="false">
      <c r="A24" s="27" t="s">
        <v>194</v>
      </c>
      <c r="B24" s="28" t="s">
        <v>195</v>
      </c>
      <c r="C24" s="22" t="n">
        <v>3</v>
      </c>
      <c r="D24" s="28" t="s">
        <v>196</v>
      </c>
      <c r="E24" s="22" t="s">
        <v>142</v>
      </c>
      <c r="F24" s="22" t="s">
        <v>146</v>
      </c>
    </row>
    <row r="25" customFormat="false" ht="15" hidden="false" customHeight="false" outlineLevel="0" collapsed="false">
      <c r="A25" s="27" t="s">
        <v>197</v>
      </c>
      <c r="B25" s="28" t="s">
        <v>198</v>
      </c>
      <c r="C25" s="22" t="n">
        <v>1</v>
      </c>
      <c r="D25" s="28" t="s">
        <v>199</v>
      </c>
      <c r="E25" s="22" t="s">
        <v>142</v>
      </c>
      <c r="F25" s="22" t="s">
        <v>146</v>
      </c>
    </row>
    <row r="26" customFormat="false" ht="15" hidden="false" customHeight="false" outlineLevel="0" collapsed="false">
      <c r="A26" s="27" t="s">
        <v>200</v>
      </c>
      <c r="B26" s="28" t="s">
        <v>201</v>
      </c>
      <c r="C26" s="22" t="n">
        <v>1</v>
      </c>
      <c r="D26" s="28" t="s">
        <v>202</v>
      </c>
      <c r="E26" s="22" t="s">
        <v>142</v>
      </c>
      <c r="F26" s="22" t="s">
        <v>146</v>
      </c>
    </row>
    <row r="27" customFormat="false" ht="15" hidden="false" customHeight="false" outlineLevel="0" collapsed="false">
      <c r="A27" s="27" t="s">
        <v>203</v>
      </c>
      <c r="B27" s="28" t="s">
        <v>204</v>
      </c>
      <c r="C27" s="22" t="n">
        <v>2</v>
      </c>
      <c r="D27" s="28" t="s">
        <v>205</v>
      </c>
      <c r="E27" s="22" t="s">
        <v>142</v>
      </c>
      <c r="F27" s="22" t="s">
        <v>146</v>
      </c>
    </row>
    <row r="28" customFormat="false" ht="15" hidden="false" customHeight="false" outlineLevel="0" collapsed="false">
      <c r="A28" s="27" t="s">
        <v>206</v>
      </c>
      <c r="B28" s="28" t="s">
        <v>207</v>
      </c>
      <c r="C28" s="22" t="n">
        <v>2</v>
      </c>
      <c r="D28" s="28" t="s">
        <v>208</v>
      </c>
      <c r="E28" s="22" t="s">
        <v>142</v>
      </c>
      <c r="F28" s="22" t="s">
        <v>146</v>
      </c>
    </row>
    <row r="29" customFormat="false" ht="15" hidden="false" customHeight="false" outlineLevel="0" collapsed="false">
      <c r="A29" s="27" t="s">
        <v>209</v>
      </c>
      <c r="B29" s="28" t="s">
        <v>210</v>
      </c>
      <c r="C29" s="22" t="n">
        <v>6</v>
      </c>
      <c r="D29" s="28" t="s">
        <v>211</v>
      </c>
      <c r="E29" s="22" t="s">
        <v>142</v>
      </c>
      <c r="F29" s="22" t="s">
        <v>146</v>
      </c>
    </row>
    <row r="30" customFormat="false" ht="15" hidden="false" customHeight="false" outlineLevel="0" collapsed="false">
      <c r="A30" s="27" t="s">
        <v>212</v>
      </c>
      <c r="B30" s="28" t="s">
        <v>213</v>
      </c>
      <c r="C30" s="22" t="n">
        <v>3</v>
      </c>
      <c r="D30" s="28" t="s">
        <v>214</v>
      </c>
      <c r="E30" s="22" t="s">
        <v>142</v>
      </c>
      <c r="F30" s="22" t="s">
        <v>146</v>
      </c>
    </row>
    <row r="31" customFormat="false" ht="15" hidden="false" customHeight="false" outlineLevel="0" collapsed="false">
      <c r="A31" s="27" t="s">
        <v>215</v>
      </c>
      <c r="B31" s="28" t="s">
        <v>216</v>
      </c>
      <c r="C31" s="22" t="n">
        <v>3</v>
      </c>
      <c r="D31" s="28" t="s">
        <v>214</v>
      </c>
      <c r="E31" s="22" t="s">
        <v>142</v>
      </c>
      <c r="F31" s="22" t="s">
        <v>146</v>
      </c>
    </row>
    <row r="32" customFormat="false" ht="15" hidden="false" customHeight="false" outlineLevel="0" collapsed="false">
      <c r="A32" s="27" t="s">
        <v>44</v>
      </c>
      <c r="B32" s="28" t="s">
        <v>217</v>
      </c>
      <c r="C32" s="22" t="n">
        <v>1</v>
      </c>
      <c r="D32" s="28" t="s">
        <v>218</v>
      </c>
      <c r="E32" s="22" t="s">
        <v>142</v>
      </c>
      <c r="F32" s="22" t="s">
        <v>146</v>
      </c>
    </row>
    <row r="33" customFormat="false" ht="15" hidden="false" customHeight="false" outlineLevel="0" collapsed="false">
      <c r="A33" s="27" t="s">
        <v>46</v>
      </c>
      <c r="B33" s="28" t="s">
        <v>219</v>
      </c>
      <c r="C33" s="22" t="n">
        <v>1</v>
      </c>
      <c r="D33" s="28" t="s">
        <v>218</v>
      </c>
      <c r="E33" s="22" t="s">
        <v>142</v>
      </c>
      <c r="F33" s="22" t="s">
        <v>146</v>
      </c>
    </row>
    <row r="34" customFormat="false" ht="15" hidden="false" customHeight="false" outlineLevel="0" collapsed="false">
      <c r="A34" s="27" t="s">
        <v>220</v>
      </c>
      <c r="B34" s="28" t="s">
        <v>221</v>
      </c>
      <c r="C34" s="22" t="n">
        <v>2</v>
      </c>
      <c r="D34" s="28" t="s">
        <v>218</v>
      </c>
      <c r="E34" s="22" t="s">
        <v>142</v>
      </c>
      <c r="F34" s="22" t="s">
        <v>146</v>
      </c>
    </row>
    <row r="35" customFormat="false" ht="15" hidden="false" customHeight="false" outlineLevel="0" collapsed="false">
      <c r="A35" s="27" t="s">
        <v>222</v>
      </c>
      <c r="B35" s="28" t="s">
        <v>223</v>
      </c>
      <c r="C35" s="22" t="n">
        <v>3</v>
      </c>
      <c r="D35" s="28" t="s">
        <v>224</v>
      </c>
      <c r="E35" s="22" t="s">
        <v>142</v>
      </c>
      <c r="F35" s="22" t="s">
        <v>146</v>
      </c>
    </row>
    <row r="36" customFormat="false" ht="15" hidden="false" customHeight="false" outlineLevel="0" collapsed="false">
      <c r="A36" s="27" t="s">
        <v>225</v>
      </c>
      <c r="B36" s="28" t="s">
        <v>226</v>
      </c>
      <c r="C36" s="22" t="n">
        <v>1</v>
      </c>
      <c r="D36" s="28" t="s">
        <v>227</v>
      </c>
      <c r="E36" s="22" t="s">
        <v>142</v>
      </c>
      <c r="F36" s="22" t="s">
        <v>228</v>
      </c>
    </row>
    <row r="37" customFormat="false" ht="15" hidden="false" customHeight="false" outlineLevel="0" collapsed="false">
      <c r="A37" s="27" t="s">
        <v>229</v>
      </c>
      <c r="B37" s="28" t="s">
        <v>230</v>
      </c>
      <c r="C37" s="22" t="n">
        <v>5</v>
      </c>
      <c r="D37" s="28" t="s">
        <v>231</v>
      </c>
      <c r="E37" s="22" t="s">
        <v>142</v>
      </c>
      <c r="F37" s="22" t="s">
        <v>228</v>
      </c>
    </row>
    <row r="38" customFormat="false" ht="15" hidden="false" customHeight="false" outlineLevel="0" collapsed="false">
      <c r="A38" s="27" t="s">
        <v>232</v>
      </c>
      <c r="B38" s="28" t="s">
        <v>233</v>
      </c>
      <c r="C38" s="22" t="n">
        <v>1</v>
      </c>
      <c r="D38" s="28" t="s">
        <v>234</v>
      </c>
      <c r="E38" s="22" t="s">
        <v>142</v>
      </c>
      <c r="F38" s="22" t="s">
        <v>228</v>
      </c>
    </row>
    <row r="39" customFormat="false" ht="15" hidden="false" customHeight="false" outlineLevel="0" collapsed="false">
      <c r="A39" s="27" t="s">
        <v>235</v>
      </c>
      <c r="B39" s="28" t="s">
        <v>236</v>
      </c>
      <c r="C39" s="22" t="n">
        <v>2</v>
      </c>
      <c r="D39" s="28" t="s">
        <v>237</v>
      </c>
      <c r="E39" s="22" t="s">
        <v>142</v>
      </c>
      <c r="F39" s="22" t="s">
        <v>228</v>
      </c>
    </row>
    <row r="40" customFormat="false" ht="15" hidden="false" customHeight="false" outlineLevel="0" collapsed="false">
      <c r="A40" s="27" t="s">
        <v>238</v>
      </c>
      <c r="B40" s="28" t="s">
        <v>239</v>
      </c>
      <c r="C40" s="22" t="n">
        <v>1</v>
      </c>
      <c r="D40" s="28" t="s">
        <v>240</v>
      </c>
      <c r="E40" s="22" t="s">
        <v>142</v>
      </c>
      <c r="F40" s="22" t="s">
        <v>228</v>
      </c>
    </row>
    <row r="41" customFormat="false" ht="15" hidden="false" customHeight="false" outlineLevel="0" collapsed="false">
      <c r="A41" s="27" t="s">
        <v>241</v>
      </c>
      <c r="B41" s="28" t="s">
        <v>242</v>
      </c>
      <c r="C41" s="22" t="n">
        <v>1</v>
      </c>
      <c r="D41" s="28" t="s">
        <v>243</v>
      </c>
      <c r="E41" s="22" t="s">
        <v>142</v>
      </c>
      <c r="F41" s="22" t="s">
        <v>228</v>
      </c>
    </row>
    <row r="42" customFormat="false" ht="15" hidden="false" customHeight="false" outlineLevel="0" collapsed="false">
      <c r="A42" s="27" t="s">
        <v>244</v>
      </c>
      <c r="B42" s="28" t="s">
        <v>245</v>
      </c>
      <c r="C42" s="22" t="n">
        <v>6</v>
      </c>
      <c r="D42" s="28" t="s">
        <v>246</v>
      </c>
      <c r="E42" s="22" t="s">
        <v>142</v>
      </c>
      <c r="F42" s="22" t="s">
        <v>228</v>
      </c>
    </row>
    <row r="43" customFormat="false" ht="15" hidden="false" customHeight="false" outlineLevel="0" collapsed="false">
      <c r="A43" s="27" t="s">
        <v>247</v>
      </c>
      <c r="B43" s="28" t="s">
        <v>248</v>
      </c>
      <c r="C43" s="22" t="n">
        <v>10</v>
      </c>
      <c r="D43" s="28" t="s">
        <v>249</v>
      </c>
      <c r="E43" s="22" t="s">
        <v>142</v>
      </c>
      <c r="F43" s="22" t="s">
        <v>228</v>
      </c>
    </row>
    <row r="44" customFormat="false" ht="15" hidden="false" customHeight="false" outlineLevel="0" collapsed="false">
      <c r="A44" s="13" t="s">
        <v>250</v>
      </c>
      <c r="B44" s="13"/>
      <c r="C44" s="13"/>
      <c r="D44" s="13"/>
      <c r="E44" s="13"/>
      <c r="F44" s="13"/>
    </row>
    <row r="45" customFormat="false" ht="15" hidden="false" customHeight="false" outlineLevel="0" collapsed="false">
      <c r="A45" s="27" t="s">
        <v>251</v>
      </c>
      <c r="B45" s="28" t="s">
        <v>252</v>
      </c>
      <c r="C45" s="22" t="n">
        <v>1</v>
      </c>
      <c r="D45" s="28" t="s">
        <v>253</v>
      </c>
      <c r="E45" s="22" t="s">
        <v>254</v>
      </c>
      <c r="F45" s="22" t="s">
        <v>255</v>
      </c>
    </row>
    <row r="46" customFormat="false" ht="15" hidden="false" customHeight="false" outlineLevel="0" collapsed="false">
      <c r="A46" s="27" t="s">
        <v>99</v>
      </c>
      <c r="B46" s="28" t="s">
        <v>256</v>
      </c>
      <c r="C46" s="22" t="n">
        <v>1</v>
      </c>
      <c r="D46" s="28" t="s">
        <v>257</v>
      </c>
      <c r="E46" s="22" t="s">
        <v>254</v>
      </c>
      <c r="F46" s="22" t="s">
        <v>143</v>
      </c>
    </row>
    <row r="47" customFormat="false" ht="15" hidden="false" customHeight="false" outlineLevel="0" collapsed="false">
      <c r="A47" s="27" t="s">
        <v>258</v>
      </c>
      <c r="B47" s="28" t="s">
        <v>259</v>
      </c>
      <c r="C47" s="22" t="n">
        <v>1</v>
      </c>
      <c r="D47" s="28" t="s">
        <v>260</v>
      </c>
      <c r="E47" s="22" t="s">
        <v>254</v>
      </c>
      <c r="F47" s="22" t="s">
        <v>255</v>
      </c>
    </row>
    <row r="48" customFormat="false" ht="15" hidden="false" customHeight="false" outlineLevel="0" collapsed="false">
      <c r="A48" s="27" t="s">
        <v>261</v>
      </c>
      <c r="B48" s="28" t="s">
        <v>262</v>
      </c>
      <c r="C48" s="22" t="n">
        <v>6</v>
      </c>
      <c r="D48" s="28" t="s">
        <v>263</v>
      </c>
      <c r="E48" s="22" t="s">
        <v>254</v>
      </c>
      <c r="F48" s="22" t="s">
        <v>264</v>
      </c>
    </row>
    <row r="49" customFormat="false" ht="15" hidden="false" customHeight="false" outlineLevel="0" collapsed="false">
      <c r="A49" s="27" t="s">
        <v>265</v>
      </c>
      <c r="B49" s="28" t="s">
        <v>266</v>
      </c>
      <c r="C49" s="22" t="n">
        <v>1</v>
      </c>
      <c r="D49" s="28" t="s">
        <v>267</v>
      </c>
      <c r="E49" s="22" t="s">
        <v>254</v>
      </c>
      <c r="F49" s="22" t="s">
        <v>264</v>
      </c>
    </row>
    <row r="50" customFormat="false" ht="15" hidden="false" customHeight="false" outlineLevel="0" collapsed="false">
      <c r="A50" s="27" t="s">
        <v>268</v>
      </c>
      <c r="B50" s="28" t="s">
        <v>269</v>
      </c>
      <c r="C50" s="22" t="n">
        <v>6</v>
      </c>
      <c r="D50" s="28" t="s">
        <v>270</v>
      </c>
      <c r="E50" s="22" t="s">
        <v>254</v>
      </c>
      <c r="F50" s="22" t="s">
        <v>264</v>
      </c>
    </row>
    <row r="51" customFormat="false" ht="15" hidden="false" customHeight="false" outlineLevel="0" collapsed="false">
      <c r="A51" s="27" t="s">
        <v>271</v>
      </c>
      <c r="B51" s="28" t="s">
        <v>269</v>
      </c>
      <c r="C51" s="22" t="n">
        <v>3</v>
      </c>
      <c r="D51" s="28" t="s">
        <v>272</v>
      </c>
      <c r="E51" s="22" t="s">
        <v>254</v>
      </c>
      <c r="F51" s="22" t="s">
        <v>264</v>
      </c>
    </row>
    <row r="52" customFormat="false" ht="15" hidden="false" customHeight="false" outlineLevel="0" collapsed="false">
      <c r="A52" s="27" t="s">
        <v>273</v>
      </c>
      <c r="B52" s="28" t="s">
        <v>269</v>
      </c>
      <c r="C52" s="22" t="n">
        <v>3</v>
      </c>
      <c r="D52" s="28" t="s">
        <v>274</v>
      </c>
      <c r="E52" s="22" t="s">
        <v>254</v>
      </c>
      <c r="F52" s="22" t="s">
        <v>264</v>
      </c>
    </row>
    <row r="53" customFormat="false" ht="15" hidden="false" customHeight="false" outlineLevel="0" collapsed="false">
      <c r="A53" s="27" t="s">
        <v>124</v>
      </c>
      <c r="B53" s="28" t="s">
        <v>269</v>
      </c>
      <c r="C53" s="22" t="n">
        <v>1</v>
      </c>
      <c r="D53" s="28" t="s">
        <v>275</v>
      </c>
      <c r="E53" s="22" t="s">
        <v>254</v>
      </c>
      <c r="F53" s="22" t="s">
        <v>264</v>
      </c>
    </row>
    <row r="54" customFormat="false" ht="15" hidden="false" customHeight="false" outlineLevel="0" collapsed="false">
      <c r="A54" s="27" t="s">
        <v>126</v>
      </c>
      <c r="B54" s="28" t="s">
        <v>269</v>
      </c>
      <c r="C54" s="22" t="n">
        <v>1</v>
      </c>
      <c r="D54" s="28" t="s">
        <v>274</v>
      </c>
      <c r="E54" s="22" t="s">
        <v>254</v>
      </c>
      <c r="F54" s="22" t="s">
        <v>264</v>
      </c>
    </row>
    <row r="55" customFormat="false" ht="15" hidden="false" customHeight="false" outlineLevel="0" collapsed="false">
      <c r="A55" s="27" t="s">
        <v>276</v>
      </c>
      <c r="B55" s="28" t="s">
        <v>269</v>
      </c>
      <c r="C55" s="22" t="n">
        <v>2</v>
      </c>
      <c r="D55" s="28" t="s">
        <v>277</v>
      </c>
      <c r="E55" s="22" t="s">
        <v>254</v>
      </c>
      <c r="F55" s="22" t="s">
        <v>264</v>
      </c>
    </row>
  </sheetData>
  <mergeCells count="2">
    <mergeCell ref="A5:F5"/>
    <mergeCell ref="A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278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279</v>
      </c>
      <c r="B3" s="3"/>
      <c r="C3" s="4" t="n">
        <v>20</v>
      </c>
    </row>
    <row r="4" customFormat="false" ht="15" hidden="false" customHeight="false" outlineLevel="0" collapsed="false">
      <c r="A4" s="3" t="s">
        <v>280</v>
      </c>
      <c r="B4" s="3"/>
      <c r="C4" s="4" t="n">
        <v>20</v>
      </c>
    </row>
    <row r="5" customFormat="false" ht="15" hidden="false" customHeight="false" outlineLevel="0" collapsed="false">
      <c r="A5" s="3" t="s">
        <v>281</v>
      </c>
      <c r="B5" s="3"/>
      <c r="C5" s="4" t="n">
        <v>1</v>
      </c>
    </row>
    <row r="6" customFormat="false" ht="15" hidden="false" customHeight="false" outlineLevel="0" collapsed="false">
      <c r="A6" s="3" t="s">
        <v>282</v>
      </c>
      <c r="B6" s="3"/>
      <c r="C6" s="4" t="n">
        <v>0.8</v>
      </c>
    </row>
    <row r="7" customFormat="false" ht="15" hidden="false" customHeight="false" outlineLevel="0" collapsed="false">
      <c r="A7" s="3" t="s">
        <v>283</v>
      </c>
      <c r="B7" s="3"/>
      <c r="C7" s="4" t="n">
        <v>3</v>
      </c>
    </row>
    <row r="8" customFormat="false" ht="15" hidden="false" customHeight="false" outlineLevel="0" collapsed="false">
      <c r="A8" s="3" t="s">
        <v>284</v>
      </c>
      <c r="B8" s="3"/>
      <c r="C8" s="4" t="n">
        <v>10</v>
      </c>
    </row>
    <row r="9" customFormat="false" ht="15" hidden="false" customHeight="false" outlineLevel="0" collapsed="false">
      <c r="A9" s="3" t="s">
        <v>285</v>
      </c>
      <c r="B9" s="3"/>
      <c r="C9" s="4" t="n">
        <v>15</v>
      </c>
    </row>
    <row r="10" customFormat="false" ht="15" hidden="false" customHeight="false" outlineLevel="0" collapsed="false">
      <c r="A10" s="3" t="s">
        <v>286</v>
      </c>
      <c r="B10" s="3"/>
      <c r="C10" s="4" t="n">
        <v>10</v>
      </c>
    </row>
    <row r="11" customFormat="false" ht="15" hidden="false" customHeight="false" outlineLevel="0" collapsed="false">
      <c r="A11" s="3" t="s">
        <v>287</v>
      </c>
      <c r="B11" s="3"/>
      <c r="C11" s="4" t="n">
        <v>10</v>
      </c>
    </row>
    <row r="12" customFormat="false" ht="15" hidden="false" customHeight="false" outlineLevel="0" collapsed="false">
      <c r="A12" s="3" t="s">
        <v>288</v>
      </c>
      <c r="B12" s="3"/>
      <c r="C12" s="4" t="n">
        <v>16</v>
      </c>
    </row>
    <row r="13" customFormat="false" ht="15" hidden="false" customHeight="false" outlineLevel="0" collapsed="false">
      <c r="A13" s="3" t="s">
        <v>289</v>
      </c>
      <c r="B13" s="3"/>
      <c r="C13" s="4" t="n">
        <v>25</v>
      </c>
    </row>
    <row r="14" customFormat="false" ht="15" hidden="false" customHeight="false" outlineLevel="0" collapsed="false">
      <c r="A14" s="3" t="s">
        <v>290</v>
      </c>
      <c r="B14" s="3"/>
      <c r="C14" s="4" t="n">
        <v>6</v>
      </c>
    </row>
    <row r="15" customFormat="false" ht="15" hidden="false" customHeight="false" outlineLevel="0" collapsed="false">
      <c r="A15" s="3" t="s">
        <v>291</v>
      </c>
      <c r="B15" s="3"/>
      <c r="C15" s="4" t="n">
        <v>4</v>
      </c>
    </row>
    <row r="16" customFormat="false" ht="15" hidden="false" customHeight="false" outlineLevel="0" collapsed="false">
      <c r="A16" s="3" t="s">
        <v>292</v>
      </c>
      <c r="B16" s="3"/>
      <c r="C16" s="4" t="n">
        <v>2.5</v>
      </c>
    </row>
    <row r="17" customFormat="false" ht="15" hidden="false" customHeight="false" outlineLevel="0" collapsed="false">
      <c r="A17" s="3" t="s">
        <v>293</v>
      </c>
      <c r="B17" s="3"/>
      <c r="C17" s="4" t="n">
        <v>3</v>
      </c>
    </row>
    <row r="18" customFormat="false" ht="15" hidden="false" customHeight="false" outlineLevel="0" collapsed="false">
      <c r="A18" s="3" t="s">
        <v>294</v>
      </c>
      <c r="B18" s="3"/>
      <c r="C18" s="4" t="n">
        <v>3</v>
      </c>
    </row>
    <row r="19" customFormat="false" ht="15" hidden="false" customHeight="false" outlineLevel="0" collapsed="false">
      <c r="A19" s="3" t="s">
        <v>295</v>
      </c>
      <c r="B19" s="3"/>
      <c r="C19" s="4" t="n">
        <v>6</v>
      </c>
    </row>
    <row r="20" customFormat="false" ht="15" hidden="false" customHeight="false" outlineLevel="0" collapsed="false">
      <c r="A20" s="3" t="s">
        <v>296</v>
      </c>
      <c r="B20" s="3"/>
      <c r="C20" s="4" t="n">
        <v>12</v>
      </c>
    </row>
    <row r="21" customFormat="false" ht="15" hidden="false" customHeight="false" outlineLevel="0" collapsed="false">
      <c r="A21" s="3" t="s">
        <v>297</v>
      </c>
      <c r="B21" s="3"/>
      <c r="C21" s="4" t="n">
        <v>6</v>
      </c>
    </row>
    <row r="22" customFormat="false" ht="15" hidden="false" customHeight="false" outlineLevel="0" collapsed="false">
      <c r="A22" s="3" t="s">
        <v>298</v>
      </c>
      <c r="B22" s="3"/>
      <c r="C22" s="4" t="n">
        <v>30</v>
      </c>
    </row>
    <row r="23" customFormat="false" ht="15" hidden="false" customHeight="false" outlineLevel="0" collapsed="false">
      <c r="A23" s="3" t="s">
        <v>299</v>
      </c>
      <c r="B23" s="3"/>
      <c r="C23" s="4" t="n">
        <v>2</v>
      </c>
    </row>
    <row r="24" customFormat="false" ht="15" hidden="false" customHeight="false" outlineLevel="0" collapsed="false">
      <c r="A24" s="3" t="s">
        <v>300</v>
      </c>
      <c r="B24" s="3"/>
      <c r="C24" s="4" t="n">
        <v>1.5</v>
      </c>
    </row>
    <row r="25" customFormat="false" ht="15" hidden="false" customHeight="false" outlineLevel="0" collapsed="false">
      <c r="A25" s="3" t="s">
        <v>301</v>
      </c>
      <c r="B25" s="3"/>
      <c r="C25" s="4" t="n">
        <v>1</v>
      </c>
    </row>
    <row r="27" customFormat="false" ht="15" hidden="false" customHeight="false" outlineLevel="0" collapsed="false">
      <c r="A27" s="6" t="s">
        <v>9</v>
      </c>
      <c r="B27" s="6" t="s">
        <v>302</v>
      </c>
      <c r="C27" s="6" t="s">
        <v>303</v>
      </c>
      <c r="D27" s="6" t="s">
        <v>304</v>
      </c>
      <c r="E27" s="6" t="s">
        <v>305</v>
      </c>
      <c r="F27" s="6" t="s">
        <v>135</v>
      </c>
    </row>
    <row r="28" customFormat="false" ht="15" hidden="false" customHeight="false" outlineLevel="0" collapsed="false">
      <c r="A28" s="27" t="s">
        <v>306</v>
      </c>
      <c r="B28" s="28" t="s">
        <v>307</v>
      </c>
      <c r="C28" s="22" t="s">
        <v>308</v>
      </c>
      <c r="D28" s="29" t="n">
        <f aca="false">2*(($C$3+2*$C$5)+($C$4+2*$C$5))</f>
        <v>88</v>
      </c>
      <c r="E28" s="28" t="s">
        <v>309</v>
      </c>
      <c r="F28" s="28" t="s">
        <v>310</v>
      </c>
    </row>
    <row r="29" customFormat="false" ht="15" hidden="false" customHeight="false" outlineLevel="0" collapsed="false">
      <c r="A29" s="27" t="s">
        <v>306</v>
      </c>
      <c r="B29" s="28" t="s">
        <v>311</v>
      </c>
      <c r="C29" s="22" t="s">
        <v>308</v>
      </c>
      <c r="D29" s="29" t="n">
        <f aca="false">ROUNDUP(D28*(1+$C$10/100),0)</f>
        <v>97</v>
      </c>
      <c r="E29" s="28" t="s">
        <v>312</v>
      </c>
      <c r="F29" s="28" t="s">
        <v>310</v>
      </c>
    </row>
    <row r="30" customFormat="false" ht="15" hidden="false" customHeight="false" outlineLevel="0" collapsed="false">
      <c r="A30" s="27" t="s">
        <v>313</v>
      </c>
      <c r="B30" s="28" t="s">
        <v>314</v>
      </c>
      <c r="C30" s="22" t="s">
        <v>315</v>
      </c>
      <c r="D30" s="29" t="n">
        <f aca="false">2*(ROUNDUP(($C$3+2*$C$5)/$C$8,0)+ROUNDUP(($C$4+2*$C$5)/$C$8,0))</f>
        <v>12</v>
      </c>
      <c r="E30" s="28" t="s">
        <v>316</v>
      </c>
      <c r="F30" s="28" t="s">
        <v>317</v>
      </c>
    </row>
    <row r="31" customFormat="false" ht="15" hidden="false" customHeight="false" outlineLevel="0" collapsed="false">
      <c r="A31" s="27" t="s">
        <v>313</v>
      </c>
      <c r="B31" s="28" t="s">
        <v>318</v>
      </c>
      <c r="C31" s="22" t="s">
        <v>308</v>
      </c>
      <c r="D31" s="29" t="n">
        <f aca="false">D30*$C$7</f>
        <v>36</v>
      </c>
      <c r="E31" s="28" t="s">
        <v>319</v>
      </c>
      <c r="F31" s="28"/>
    </row>
    <row r="32" customFormat="false" ht="15" hidden="false" customHeight="false" outlineLevel="0" collapsed="false">
      <c r="A32" s="27" t="s">
        <v>313</v>
      </c>
      <c r="B32" s="28" t="s">
        <v>320</v>
      </c>
      <c r="C32" s="22" t="s">
        <v>308</v>
      </c>
      <c r="D32" s="17" t="n">
        <f aca="false">MAX(($C$3+2*$C$5)/ROUNDUP(($C$3+2*$C$5)/$C$8,0),($C$4+2*$C$5)/ROUNDUP(($C$4+2*$C$5)/$C$8,0))</f>
        <v>7.33333333333333</v>
      </c>
      <c r="E32" s="28" t="s">
        <v>321</v>
      </c>
      <c r="F32" s="28" t="s">
        <v>322</v>
      </c>
    </row>
    <row r="33" customFormat="false" ht="15" hidden="false" customHeight="false" outlineLevel="0" collapsed="false">
      <c r="A33" s="27" t="s">
        <v>323</v>
      </c>
      <c r="B33" s="28" t="s">
        <v>324</v>
      </c>
      <c r="C33" s="22" t="s">
        <v>315</v>
      </c>
      <c r="D33" s="29" t="n">
        <f aca="false">$C$15</f>
        <v>4</v>
      </c>
      <c r="E33" s="28" t="s">
        <v>325</v>
      </c>
      <c r="F33" s="28" t="s">
        <v>326</v>
      </c>
    </row>
    <row r="34" customFormat="false" ht="15" hidden="false" customHeight="false" outlineLevel="0" collapsed="false">
      <c r="A34" s="27" t="s">
        <v>327</v>
      </c>
      <c r="B34" s="28" t="s">
        <v>328</v>
      </c>
      <c r="C34" s="22" t="s">
        <v>315</v>
      </c>
      <c r="D34" s="29" t="n">
        <f aca="false">MIN(8,MAX(2,ROUNDUP(2*($C$3+$C$4)/$C$9,0)))</f>
        <v>6</v>
      </c>
      <c r="E34" s="28" t="s">
        <v>329</v>
      </c>
      <c r="F34" s="28" t="s">
        <v>330</v>
      </c>
    </row>
    <row r="35" customFormat="false" ht="15" hidden="false" customHeight="false" outlineLevel="0" collapsed="false">
      <c r="A35" s="27" t="s">
        <v>331</v>
      </c>
      <c r="B35" s="28" t="s">
        <v>332</v>
      </c>
      <c r="C35" s="22" t="s">
        <v>315</v>
      </c>
      <c r="D35" s="29" t="n">
        <f aca="false">D34</f>
        <v>6</v>
      </c>
      <c r="E35" s="28" t="s">
        <v>333</v>
      </c>
      <c r="F35" s="28" t="s">
        <v>334</v>
      </c>
    </row>
    <row r="36" customFormat="false" ht="23.85" hidden="false" customHeight="false" outlineLevel="0" collapsed="false">
      <c r="A36" s="27" t="s">
        <v>327</v>
      </c>
      <c r="B36" s="28" t="s">
        <v>335</v>
      </c>
      <c r="C36" s="22" t="s">
        <v>308</v>
      </c>
      <c r="D36" s="29" t="n">
        <f aca="false">ROUNDUP((D34*($C$11+$C$6)+($C$13-$C$11)+(PI()*$C$14/2+2))*(1+$C$10/100),0)</f>
        <v>101</v>
      </c>
      <c r="E36" s="28" t="s">
        <v>336</v>
      </c>
      <c r="F36" s="28" t="s">
        <v>337</v>
      </c>
    </row>
    <row r="37" customFormat="false" ht="15" hidden="false" customHeight="false" outlineLevel="0" collapsed="false">
      <c r="A37" s="27" t="s">
        <v>338</v>
      </c>
      <c r="B37" s="28" t="s">
        <v>339</v>
      </c>
      <c r="C37" s="22" t="s">
        <v>308</v>
      </c>
      <c r="D37" s="29" t="n">
        <f aca="false">ROUNDUP((2*($C$3+$C$4)+$C$4/2+3)*(1+$C$10/100),0)</f>
        <v>103</v>
      </c>
      <c r="E37" s="28" t="s">
        <v>340</v>
      </c>
      <c r="F37" s="28" t="s">
        <v>341</v>
      </c>
    </row>
    <row r="38" customFormat="false" ht="15" hidden="false" customHeight="false" outlineLevel="0" collapsed="false">
      <c r="A38" s="27" t="s">
        <v>342</v>
      </c>
      <c r="B38" s="28" t="s">
        <v>343</v>
      </c>
      <c r="C38" s="22" t="s">
        <v>315</v>
      </c>
      <c r="D38" s="29" t="n">
        <f aca="false">3</f>
        <v>3</v>
      </c>
      <c r="E38" s="28" t="s">
        <v>344</v>
      </c>
      <c r="F38" s="28" t="s">
        <v>345</v>
      </c>
    </row>
    <row r="39" customFormat="false" ht="15" hidden="false" customHeight="false" outlineLevel="0" collapsed="false">
      <c r="A39" s="27" t="s">
        <v>342</v>
      </c>
      <c r="B39" s="28" t="s">
        <v>346</v>
      </c>
      <c r="C39" s="22" t="s">
        <v>308</v>
      </c>
      <c r="D39" s="19" t="n">
        <f aca="false">$C$23+$C$24+$C$25</f>
        <v>4.5</v>
      </c>
      <c r="E39" s="28" t="s">
        <v>347</v>
      </c>
      <c r="F39" s="28"/>
    </row>
    <row r="40" customFormat="false" ht="15" hidden="false" customHeight="false" outlineLevel="0" collapsed="false">
      <c r="A40" s="27" t="s">
        <v>348</v>
      </c>
      <c r="B40" s="28" t="s">
        <v>349</v>
      </c>
      <c r="C40" s="22" t="s">
        <v>315</v>
      </c>
      <c r="D40" s="29" t="n">
        <f aca="false">1</f>
        <v>1</v>
      </c>
      <c r="E40" s="28" t="s">
        <v>350</v>
      </c>
      <c r="F40" s="28" t="s">
        <v>351</v>
      </c>
    </row>
    <row r="41" customFormat="false" ht="15" hidden="false" customHeight="false" outlineLevel="0" collapsed="false">
      <c r="A41" s="27" t="s">
        <v>352</v>
      </c>
      <c r="B41" s="28" t="s">
        <v>353</v>
      </c>
      <c r="C41" s="22" t="s">
        <v>308</v>
      </c>
      <c r="D41" s="29" t="n">
        <f aca="false">ROUNDUP($C$16*(1+$C$10/100),0)</f>
        <v>3</v>
      </c>
      <c r="E41" s="28" t="s">
        <v>354</v>
      </c>
      <c r="F41" s="28" t="s">
        <v>337</v>
      </c>
    </row>
    <row r="42" customFormat="false" ht="15" hidden="false" customHeight="false" outlineLevel="0" collapsed="false">
      <c r="A42" s="27" t="s">
        <v>355</v>
      </c>
      <c r="B42" s="28" t="s">
        <v>356</v>
      </c>
      <c r="C42" s="22" t="s">
        <v>308</v>
      </c>
      <c r="D42" s="29" t="n">
        <f aca="false">ROUNDUP($C$17*(1+$C$10/100),0)</f>
        <v>4</v>
      </c>
      <c r="E42" s="28" t="s">
        <v>354</v>
      </c>
      <c r="F42" s="28" t="s">
        <v>337</v>
      </c>
    </row>
    <row r="43" customFormat="false" ht="15" hidden="false" customHeight="false" outlineLevel="0" collapsed="false">
      <c r="A43" s="27" t="s">
        <v>258</v>
      </c>
      <c r="B43" s="28" t="s">
        <v>357</v>
      </c>
      <c r="C43" s="22" t="s">
        <v>308</v>
      </c>
      <c r="D43" s="29" t="n">
        <f aca="false">ROUNDUP($C$22*(1+$C$10/100),0)</f>
        <v>33</v>
      </c>
      <c r="E43" s="28" t="s">
        <v>358</v>
      </c>
      <c r="F43" s="28" t="s">
        <v>359</v>
      </c>
    </row>
    <row r="44" customFormat="false" ht="15" hidden="false" customHeight="false" outlineLevel="0" collapsed="false">
      <c r="A44" s="27" t="s">
        <v>360</v>
      </c>
      <c r="B44" s="28" t="s">
        <v>361</v>
      </c>
      <c r="C44" s="22" t="s">
        <v>315</v>
      </c>
      <c r="D44" s="29" t="n">
        <f aca="false">$C$18</f>
        <v>3</v>
      </c>
      <c r="E44" s="28" t="s">
        <v>325</v>
      </c>
      <c r="F44" s="28" t="s">
        <v>362</v>
      </c>
    </row>
    <row r="45" customFormat="false" ht="15" hidden="false" customHeight="false" outlineLevel="0" collapsed="false">
      <c r="A45" s="27" t="s">
        <v>360</v>
      </c>
      <c r="B45" s="28" t="s">
        <v>363</v>
      </c>
      <c r="C45" s="22" t="s">
        <v>308</v>
      </c>
      <c r="D45" s="29" t="n">
        <f aca="false">($C$18-1)*$C$19+6</f>
        <v>18</v>
      </c>
      <c r="E45" s="28" t="s">
        <v>364</v>
      </c>
      <c r="F45" s="28" t="s">
        <v>365</v>
      </c>
    </row>
    <row r="46" customFormat="false" ht="15" hidden="false" customHeight="false" outlineLevel="0" collapsed="false">
      <c r="A46" s="27" t="s">
        <v>366</v>
      </c>
      <c r="B46" s="28" t="s">
        <v>367</v>
      </c>
      <c r="C46" s="22" t="s">
        <v>308</v>
      </c>
      <c r="D46" s="29" t="n">
        <f aca="false">ROUNDUP($C$21*$C$20*(1+$C$10/100),0)</f>
        <v>80</v>
      </c>
      <c r="E46" s="28" t="s">
        <v>368</v>
      </c>
      <c r="F46" s="28" t="s">
        <v>369</v>
      </c>
    </row>
    <row r="47" customFormat="false" ht="15" hidden="false" customHeight="false" outlineLevel="0" collapsed="false">
      <c r="A47" s="27" t="s">
        <v>366</v>
      </c>
      <c r="B47" s="28" t="s">
        <v>370</v>
      </c>
      <c r="C47" s="22" t="s">
        <v>315</v>
      </c>
      <c r="D47" s="29" t="n">
        <f aca="false">$C$21</f>
        <v>6</v>
      </c>
      <c r="E47" s="28" t="s">
        <v>371</v>
      </c>
      <c r="F47" s="28" t="s">
        <v>372</v>
      </c>
    </row>
    <row r="48" customFormat="false" ht="15" hidden="false" customHeight="false" outlineLevel="0" collapsed="false">
      <c r="A48" s="27" t="s">
        <v>373</v>
      </c>
      <c r="B48" s="28" t="s">
        <v>374</v>
      </c>
      <c r="C48" s="22" t="s">
        <v>315</v>
      </c>
      <c r="D48" s="29" t="n">
        <f aca="false">1</f>
        <v>1</v>
      </c>
      <c r="E48" s="28" t="s">
        <v>375</v>
      </c>
      <c r="F48" s="28" t="s">
        <v>376</v>
      </c>
    </row>
    <row r="49" customFormat="false" ht="15" hidden="false" customHeight="false" outlineLevel="0" collapsed="false">
      <c r="A49" s="27" t="s">
        <v>377</v>
      </c>
      <c r="B49" s="28" t="s">
        <v>378</v>
      </c>
      <c r="C49" s="22" t="s">
        <v>315</v>
      </c>
      <c r="D49" s="29" t="n">
        <f aca="false">D30+D34+2+1+$C$21</f>
        <v>27</v>
      </c>
      <c r="E49" s="28" t="s">
        <v>379</v>
      </c>
      <c r="F49" s="28" t="s">
        <v>380</v>
      </c>
    </row>
    <row r="50" customFormat="false" ht="15" hidden="false" customHeight="false" outlineLevel="0" collapsed="false">
      <c r="A50" s="27" t="s">
        <v>377</v>
      </c>
      <c r="B50" s="28" t="s">
        <v>381</v>
      </c>
      <c r="C50" s="22" t="s">
        <v>315</v>
      </c>
      <c r="D50" s="29" t="n">
        <f aca="false">3</f>
        <v>3</v>
      </c>
      <c r="E50" s="28" t="s">
        <v>382</v>
      </c>
      <c r="F50" s="28" t="s">
        <v>383</v>
      </c>
    </row>
    <row r="51" customFormat="false" ht="15" hidden="false" customHeight="false" outlineLevel="0" collapsed="false">
      <c r="A51" s="27" t="s">
        <v>54</v>
      </c>
      <c r="B51" s="28" t="s">
        <v>384</v>
      </c>
      <c r="C51" s="22" t="s">
        <v>315</v>
      </c>
      <c r="D51" s="29" t="n">
        <f aca="false">ROUNDUP(D49/10,0)</f>
        <v>3</v>
      </c>
      <c r="E51" s="28" t="s">
        <v>385</v>
      </c>
      <c r="F51" s="28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386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387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388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389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390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391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74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392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393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394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395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396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397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398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399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400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401</v>
      </c>
      <c r="B20" s="3"/>
      <c r="C20" s="3"/>
      <c r="D20" s="4" t="n">
        <v>25</v>
      </c>
    </row>
    <row r="22" customFormat="false" ht="15" hidden="false" customHeight="false" outlineLevel="0" collapsed="false">
      <c r="A22" s="13" t="s">
        <v>402</v>
      </c>
      <c r="B22" s="13"/>
      <c r="C22" s="13"/>
      <c r="D22" s="13"/>
      <c r="E22" s="13"/>
      <c r="F22" s="13"/>
      <c r="G22" s="13"/>
      <c r="H22" s="13"/>
      <c r="I22" s="13"/>
      <c r="J22" s="13"/>
    </row>
    <row r="23" customFormat="false" ht="15" hidden="false" customHeight="false" outlineLevel="0" collapsed="false">
      <c r="A23" s="3" t="s">
        <v>403</v>
      </c>
      <c r="B23" s="3"/>
      <c r="C23" s="3"/>
      <c r="D23" s="19" t="n">
        <f aca="false">$D$3*1000/(SQRT(3)*$D$4)</f>
        <v>360.843918243516</v>
      </c>
      <c r="E23" s="8" t="s">
        <v>404</v>
      </c>
    </row>
    <row r="24" customFormat="false" ht="15" hidden="false" customHeight="false" outlineLevel="0" collapsed="false">
      <c r="A24" s="3" t="s">
        <v>405</v>
      </c>
      <c r="B24" s="3"/>
      <c r="C24" s="3"/>
      <c r="D24" s="17" t="n">
        <f aca="false">$D$23/($D$5/100)/1000</f>
        <v>9.0210979560879</v>
      </c>
      <c r="E24" s="8" t="s">
        <v>406</v>
      </c>
    </row>
    <row r="25" customFormat="false" ht="15" hidden="false" customHeight="false" outlineLevel="0" collapsed="false">
      <c r="A25" s="3" t="s">
        <v>407</v>
      </c>
      <c r="B25" s="3"/>
      <c r="C25" s="3"/>
      <c r="D25" s="30" t="n">
        <f aca="false">$D$5/100*$D$4^2/($D$3*1000)</f>
        <v>0.0256</v>
      </c>
      <c r="E25" s="8" t="s">
        <v>408</v>
      </c>
    </row>
    <row r="26" customFormat="false" ht="15" hidden="false" customHeight="false" outlineLevel="0" collapsed="false">
      <c r="A26" s="3" t="s">
        <v>409</v>
      </c>
      <c r="B26" s="3"/>
      <c r="C26" s="3"/>
      <c r="D26" s="30" t="n">
        <f aca="false">$D$6/100*$D$4^2/($D$3*1000)</f>
        <v>0.00832</v>
      </c>
      <c r="E26" s="8" t="s">
        <v>408</v>
      </c>
    </row>
    <row r="27" customFormat="false" ht="15" hidden="false" customHeight="false" outlineLevel="0" collapsed="false">
      <c r="A27" s="3" t="s">
        <v>410</v>
      </c>
      <c r="B27" s="3"/>
      <c r="C27" s="3"/>
      <c r="D27" s="30" t="n">
        <f aca="false">SQRT($D$25^2-$D$26^2)</f>
        <v>0.0242102788088035</v>
      </c>
      <c r="E27" s="8" t="s">
        <v>408</v>
      </c>
    </row>
    <row r="28" customFormat="false" ht="15" hidden="false" customHeight="false" outlineLevel="0" collapsed="false">
      <c r="A28" s="3" t="s">
        <v>411</v>
      </c>
      <c r="B28" s="3"/>
      <c r="C28" s="3"/>
      <c r="D28" s="30" t="n">
        <f aca="false">$D$7/(56*$D$8)</f>
        <v>0.0056390977443609</v>
      </c>
      <c r="E28" s="8" t="s">
        <v>408</v>
      </c>
    </row>
    <row r="29" customFormat="false" ht="15" hidden="false" customHeight="false" outlineLevel="0" collapsed="false">
      <c r="A29" s="3" t="s">
        <v>412</v>
      </c>
      <c r="B29" s="3"/>
      <c r="C29" s="3"/>
      <c r="D29" s="30" t="n">
        <f aca="false">$D$9/1000*$D$7</f>
        <v>0.0024</v>
      </c>
      <c r="E29" s="8" t="s">
        <v>408</v>
      </c>
    </row>
    <row r="30" customFormat="false" ht="15" hidden="false" customHeight="false" outlineLevel="0" collapsed="false">
      <c r="A30" s="3" t="s">
        <v>413</v>
      </c>
      <c r="B30" s="3"/>
      <c r="C30" s="3"/>
      <c r="D30" s="30" t="n">
        <f aca="false">SQRT(($D$26+$D$28)^2+($D$27+$D$29)^2)</f>
        <v>0.0300493485473292</v>
      </c>
      <c r="E30" s="8" t="s">
        <v>408</v>
      </c>
    </row>
    <row r="31" customFormat="false" ht="15" hidden="false" customHeight="false" outlineLevel="0" collapsed="false">
      <c r="A31" s="3" t="s">
        <v>414</v>
      </c>
      <c r="B31" s="3"/>
      <c r="C31" s="3"/>
      <c r="D31" s="17" t="n">
        <f aca="false">$D$4/(SQRT(3)*$D$30)/1000</f>
        <v>7.68536154160241</v>
      </c>
      <c r="E31" s="8" t="s">
        <v>406</v>
      </c>
    </row>
    <row r="33" customFormat="false" ht="15" hidden="false" customHeight="false" outlineLevel="0" collapsed="false">
      <c r="A33" s="13" t="s">
        <v>415</v>
      </c>
      <c r="B33" s="13"/>
      <c r="C33" s="13"/>
      <c r="D33" s="13"/>
      <c r="E33" s="13"/>
      <c r="F33" s="13"/>
      <c r="G33" s="13"/>
      <c r="H33" s="13"/>
      <c r="I33" s="13"/>
      <c r="J33" s="13"/>
    </row>
    <row r="34" customFormat="false" ht="30" hidden="false" customHeight="true" outlineLevel="0" collapsed="false">
      <c r="A34" s="7" t="s">
        <v>416</v>
      </c>
      <c r="B34" s="7" t="s">
        <v>9</v>
      </c>
      <c r="C34" s="7" t="s">
        <v>417</v>
      </c>
      <c r="D34" s="7" t="s">
        <v>418</v>
      </c>
      <c r="E34" s="7" t="s">
        <v>419</v>
      </c>
      <c r="F34" s="7" t="s">
        <v>420</v>
      </c>
      <c r="G34" s="7" t="s">
        <v>421</v>
      </c>
      <c r="H34" s="7" t="s">
        <v>422</v>
      </c>
      <c r="I34" s="7" t="s">
        <v>423</v>
      </c>
      <c r="J34" s="7" t="s">
        <v>424</v>
      </c>
    </row>
    <row r="35" customFormat="false" ht="15" hidden="false" customHeight="false" outlineLevel="0" collapsed="false">
      <c r="A35" s="22" t="s">
        <v>425</v>
      </c>
      <c r="B35" s="27" t="s">
        <v>100</v>
      </c>
      <c r="C35" s="28" t="s">
        <v>426</v>
      </c>
      <c r="D35" s="22" t="n">
        <f aca="false">$D$12</f>
        <v>160</v>
      </c>
      <c r="E35" s="22" t="s">
        <v>54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5" t="str">
        <f aca="false">IF(G35&gt;=H35,"UYGUN","UYGUN DEĞİL")</f>
        <v>UYGUN</v>
      </c>
      <c r="J35" s="28" t="s">
        <v>427</v>
      </c>
    </row>
    <row r="36" customFormat="false" ht="15" hidden="false" customHeight="false" outlineLevel="0" collapsed="false">
      <c r="A36" s="22" t="s">
        <v>428</v>
      </c>
      <c r="B36" s="27" t="s">
        <v>150</v>
      </c>
      <c r="C36" s="28" t="s">
        <v>429</v>
      </c>
      <c r="D36" s="22" t="s">
        <v>54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5" t="str">
        <f aca="false">IF(G36&gt;=H36,"UYGUN","UYGUN DEĞİL")</f>
        <v>UYGUN</v>
      </c>
      <c r="J36" s="28" t="s">
        <v>430</v>
      </c>
    </row>
    <row r="37" customFormat="false" ht="15" hidden="false" customHeight="false" outlineLevel="0" collapsed="false">
      <c r="A37" s="22" t="s">
        <v>431</v>
      </c>
      <c r="B37" s="27" t="s">
        <v>203</v>
      </c>
      <c r="C37" s="28" t="s">
        <v>432</v>
      </c>
      <c r="D37" s="22" t="n">
        <v>63</v>
      </c>
      <c r="E37" s="22" t="s">
        <v>54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5" t="str">
        <f aca="false">IF(G37&gt;=H37,"UYGUN","UYGUN DEĞİL")</f>
        <v>UYGUN</v>
      </c>
      <c r="J37" s="28" t="s">
        <v>433</v>
      </c>
    </row>
    <row r="38" customFormat="false" ht="15" hidden="false" customHeight="false" outlineLevel="0" collapsed="false">
      <c r="A38" s="22" t="s">
        <v>431</v>
      </c>
      <c r="B38" s="27" t="s">
        <v>206</v>
      </c>
      <c r="C38" s="28" t="s">
        <v>434</v>
      </c>
      <c r="D38" s="22" t="n">
        <v>63</v>
      </c>
      <c r="E38" s="22" t="n">
        <v>300</v>
      </c>
      <c r="F38" s="22" t="n">
        <v>40</v>
      </c>
      <c r="G38" s="22" t="n">
        <v>10</v>
      </c>
      <c r="H38" s="11" t="n">
        <f aca="false">$D$31</f>
        <v>7.68536154160241</v>
      </c>
      <c r="I38" s="25" t="str">
        <f aca="false">IF(G38&gt;=H38,"UYGUN","UYGUN DEĞİL")</f>
        <v>UYGUN</v>
      </c>
      <c r="J38" s="28" t="s">
        <v>435</v>
      </c>
    </row>
    <row r="39" customFormat="false" ht="15" hidden="false" customHeight="false" outlineLevel="0" collapsed="false">
      <c r="A39" s="22" t="s">
        <v>436</v>
      </c>
      <c r="B39" s="27" t="s">
        <v>209</v>
      </c>
      <c r="C39" s="28" t="s">
        <v>437</v>
      </c>
      <c r="D39" s="22" t="n">
        <v>14</v>
      </c>
      <c r="E39" s="22" t="s">
        <v>54</v>
      </c>
      <c r="F39" s="22" t="n">
        <f aca="false">$D$19</f>
        <v>10</v>
      </c>
      <c r="G39" s="22" t="n">
        <v>50</v>
      </c>
      <c r="H39" s="11" t="n">
        <f aca="false">$D$31</f>
        <v>7.68536154160241</v>
      </c>
      <c r="I39" s="25" t="str">
        <f aca="false">IF(G39&gt;=H39,"UYGUN","UYGUN DEĞİL")</f>
        <v>UYGUN</v>
      </c>
      <c r="J39" s="28"/>
    </row>
    <row r="40" customFormat="false" ht="23.85" hidden="false" customHeight="false" outlineLevel="0" collapsed="false">
      <c r="A40" s="22" t="s">
        <v>436</v>
      </c>
      <c r="B40" s="27" t="s">
        <v>438</v>
      </c>
      <c r="C40" s="28" t="s">
        <v>439</v>
      </c>
      <c r="D40" s="22" t="s">
        <v>440</v>
      </c>
      <c r="E40" s="22" t="n">
        <v>30</v>
      </c>
      <c r="F40" s="22" t="n">
        <v>40</v>
      </c>
      <c r="G40" s="22" t="n">
        <v>10</v>
      </c>
      <c r="H40" s="11" t="n">
        <f aca="false">$D$31</f>
        <v>7.68536154160241</v>
      </c>
      <c r="I40" s="25" t="str">
        <f aca="false">IF(G40&gt;=H40,"UYGUN","UYGUN DEĞİL")</f>
        <v>UYGUN</v>
      </c>
      <c r="J40" s="28" t="s">
        <v>441</v>
      </c>
    </row>
    <row r="41" customFormat="false" ht="15" hidden="false" customHeight="false" outlineLevel="0" collapsed="false">
      <c r="B41" s="3" t="s">
        <v>442</v>
      </c>
      <c r="C41" s="8" t="s">
        <v>443</v>
      </c>
      <c r="G41" s="8" t="n">
        <f aca="false">$D$10</f>
        <v>36</v>
      </c>
      <c r="H41" s="8" t="n">
        <f aca="false">$D$20</f>
        <v>25</v>
      </c>
      <c r="I41" s="25" t="str">
        <f aca="false">IF(G41&gt;=H41,"UYGUN","UYGUN DEĞİL")</f>
        <v>UYGUN</v>
      </c>
    </row>
    <row r="43" customFormat="false" ht="15" hidden="false" customHeight="false" outlineLevel="0" collapsed="false">
      <c r="A43" s="13" t="s">
        <v>444</v>
      </c>
      <c r="B43" s="13"/>
      <c r="C43" s="13"/>
      <c r="D43" s="13"/>
      <c r="E43" s="13"/>
      <c r="F43" s="13"/>
      <c r="G43" s="13"/>
      <c r="H43" s="13"/>
      <c r="I43" s="13"/>
      <c r="J43" s="13"/>
    </row>
    <row r="44" customFormat="false" ht="30" hidden="false" customHeight="true" outlineLevel="0" collapsed="false">
      <c r="A44" s="7" t="s">
        <v>445</v>
      </c>
      <c r="B44" s="7" t="s">
        <v>446</v>
      </c>
      <c r="C44" s="7" t="s">
        <v>447</v>
      </c>
      <c r="D44" s="7" t="s">
        <v>448</v>
      </c>
      <c r="E44" s="7" t="s">
        <v>449</v>
      </c>
      <c r="F44" s="7" t="s">
        <v>450</v>
      </c>
      <c r="G44" s="7" t="s">
        <v>451</v>
      </c>
      <c r="H44" s="7" t="s">
        <v>452</v>
      </c>
      <c r="I44" s="7" t="s">
        <v>453</v>
      </c>
      <c r="J44" s="7" t="s">
        <v>454</v>
      </c>
    </row>
    <row r="45" customFormat="false" ht="15" hidden="false" customHeight="false" outlineLevel="0" collapsed="false">
      <c r="A45" s="3" t="s">
        <v>150</v>
      </c>
      <c r="B45" s="28" t="s">
        <v>455</v>
      </c>
      <c r="C45" s="8" t="n">
        <f aca="false">$D$15</f>
        <v>1000</v>
      </c>
      <c r="D45" s="8" t="n">
        <v>300</v>
      </c>
      <c r="E45" s="12" t="n">
        <f aca="false">C45/D45</f>
        <v>3.33333333333333</v>
      </c>
      <c r="F45" s="22" t="str">
        <f aca="false">IF(E45&gt;=$D$17,"UYGUN","UYGUN DEĞİL")</f>
        <v>UYGUN</v>
      </c>
      <c r="G45" s="8" t="n">
        <f aca="false">$D$16</f>
        <v>300</v>
      </c>
      <c r="H45" s="8" t="n">
        <v>40</v>
      </c>
      <c r="I45" s="22" t="str">
        <f aca="false">IF(G45&gt;=H45+$D$18,"UYGUN","UYGUN DEĞİL")</f>
        <v>UYGUN</v>
      </c>
      <c r="J45" s="25" t="str">
        <f aca="false">IF(AND(F45="UYGUN",I45="UYGUN"),"SEÇİCİ","SEÇİCİ DEĞİL")</f>
        <v>SEÇİCİ</v>
      </c>
    </row>
    <row r="46" customFormat="false" ht="23.85" hidden="false" customHeight="false" outlineLevel="0" collapsed="false">
      <c r="A46" s="3" t="s">
        <v>150</v>
      </c>
      <c r="B46" s="28" t="s">
        <v>456</v>
      </c>
      <c r="C46" s="8" t="n">
        <f aca="false">$D$15</f>
        <v>1000</v>
      </c>
      <c r="D46" s="8" t="n">
        <v>30</v>
      </c>
      <c r="E46" s="12" t="n">
        <f aca="false">C46/D46</f>
        <v>33.3333333333333</v>
      </c>
      <c r="F46" s="22" t="str">
        <f aca="false">IF(E46&gt;=$D$17,"UYGUN","UYGUN DEĞİL")</f>
        <v>UYGUN</v>
      </c>
      <c r="G46" s="8" t="n">
        <f aca="false">$D$16</f>
        <v>300</v>
      </c>
      <c r="H46" s="8" t="n">
        <v>40</v>
      </c>
      <c r="I46" s="22" t="str">
        <f aca="false">IF(G46&gt;=H46+$D$18,"UYGUN","UYGUN DEĞİL")</f>
        <v>UYGUN</v>
      </c>
      <c r="J46" s="25" t="str">
        <f aca="false">IF(AND(F46="UYGUN",I46="UYGUN"),"SEÇİCİ","SEÇİCİ DEĞİL")</f>
        <v>SEÇİCİ</v>
      </c>
    </row>
    <row r="48" customFormat="false" ht="15" hidden="false" customHeight="false" outlineLevel="0" collapsed="false">
      <c r="A48" s="13" t="s">
        <v>457</v>
      </c>
      <c r="B48" s="13"/>
      <c r="C48" s="13"/>
      <c r="D48" s="13"/>
      <c r="E48" s="13"/>
      <c r="F48" s="13"/>
      <c r="G48" s="13"/>
      <c r="H48" s="13"/>
      <c r="I48" s="13"/>
      <c r="J48" s="13"/>
    </row>
    <row r="49" customFormat="false" ht="15" hidden="false" customHeight="false" outlineLevel="0" collapsed="false">
      <c r="A49" s="6" t="s">
        <v>458</v>
      </c>
      <c r="B49" s="6"/>
      <c r="C49" s="6"/>
      <c r="D49" s="6" t="s">
        <v>459</v>
      </c>
      <c r="E49" s="6" t="s">
        <v>303</v>
      </c>
      <c r="F49" s="6" t="s">
        <v>460</v>
      </c>
      <c r="G49" s="6"/>
      <c r="H49" s="6"/>
      <c r="I49" s="6"/>
      <c r="J49" s="6" t="s">
        <v>424</v>
      </c>
    </row>
    <row r="50" customFormat="false" ht="15" hidden="false" customHeight="false" outlineLevel="0" collapsed="false">
      <c r="A50" s="3" t="s">
        <v>461</v>
      </c>
      <c r="B50" s="3"/>
      <c r="C50" s="3"/>
      <c r="D50" s="17" t="n">
        <f aca="false">$D$12*$D$13</f>
        <v>960</v>
      </c>
      <c r="E50" s="8" t="s">
        <v>404</v>
      </c>
      <c r="J50" s="28" t="s">
        <v>462</v>
      </c>
    </row>
    <row r="51" customFormat="false" ht="15" hidden="false" customHeight="false" outlineLevel="0" collapsed="false">
      <c r="A51" s="3" t="s">
        <v>463</v>
      </c>
      <c r="B51" s="3"/>
      <c r="C51" s="3"/>
      <c r="D51" s="17" t="n">
        <f aca="false">$D$14</f>
        <v>100</v>
      </c>
      <c r="E51" s="8" t="s">
        <v>464</v>
      </c>
      <c r="F51" s="25" t="str">
        <f aca="false">IF(D51&gt;=$D$19+$D$18,"UYGUN","UYGUN DEĞİL")</f>
        <v>UYGUN</v>
      </c>
      <c r="J51" s="28" t="s">
        <v>465</v>
      </c>
    </row>
    <row r="52" customFormat="false" ht="15" hidden="false" customHeight="false" outlineLevel="0" collapsed="false">
      <c r="A52" s="3" t="s">
        <v>466</v>
      </c>
      <c r="B52" s="3"/>
      <c r="C52" s="3"/>
      <c r="D52" s="17" t="n">
        <f aca="false">$D$11</f>
        <v>10</v>
      </c>
      <c r="E52" s="8" t="s">
        <v>406</v>
      </c>
      <c r="F52" s="25" t="str">
        <f aca="false">IF(D52&gt;=$D$31,"UYGUN","UYGUN DEĞİL")</f>
        <v>UYGUN</v>
      </c>
      <c r="J52" s="28" t="s">
        <v>467</v>
      </c>
    </row>
    <row r="53" customFormat="false" ht="15" hidden="false" customHeight="false" outlineLevel="0" collapsed="false">
      <c r="A53" s="3" t="s">
        <v>468</v>
      </c>
      <c r="B53" s="3"/>
      <c r="C53" s="3"/>
      <c r="D53" s="17" t="n">
        <f aca="false">$D$31</f>
        <v>7.68536154160241</v>
      </c>
      <c r="E53" s="8" t="s">
        <v>406</v>
      </c>
      <c r="J53" s="28" t="s">
        <v>469</v>
      </c>
    </row>
    <row r="55" customFormat="false" ht="15" hidden="false" customHeight="false" outlineLevel="0" collapsed="false">
      <c r="A55" s="26" t="s">
        <v>470</v>
      </c>
    </row>
    <row r="56" customFormat="false" ht="15" hidden="false" customHeight="false" outlineLevel="0" collapsed="false">
      <c r="A56" s="26" t="s">
        <v>471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3:J43"/>
    <mergeCell ref="A48:J48"/>
    <mergeCell ref="A50:C50"/>
    <mergeCell ref="A51:C51"/>
    <mergeCell ref="A52:C52"/>
    <mergeCell ref="A53:C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2026-10-24T18:04:36Z</dcterms:created>
  <dc:creator>openpyxl</dc:creator>
  <dc:description/>
  <dc:language>en-US</dc:language>
  <cp:lastModifiedBy/>
  <dcterms:modified xsi:type="dcterms:W3CDTF">2026-10-24T18:04:36Z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